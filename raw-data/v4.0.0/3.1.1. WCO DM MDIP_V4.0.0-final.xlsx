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C:\Business_Data\WCO DM (WCO)\1. Versions\4.0.0\Packages\v4.0.0-final\Section 3 (IPs)\Section 3.1 DataModel\"/>
    </mc:Choice>
  </mc:AlternateContent>
  <xr:revisionPtr revIDLastSave="0" documentId="13_ncr:1_{2795CA53-A2BA-4037-889E-1B7D7E919D00}" xr6:coauthVersionLast="47" xr6:coauthVersionMax="47" xr10:uidLastSave="{00000000-0000-0000-0000-000000000000}"/>
  <bookViews>
    <workbookView xWindow="-25320" yWindow="390" windowWidth="25440" windowHeight="15540" xr2:uid="{00000000-000D-0000-FFFF-FFFF00000000}"/>
  </bookViews>
  <sheets>
    <sheet name="MDIP (MetaData)" sheetId="1" r:id="rId1"/>
  </sheets>
  <definedNames>
    <definedName name="_xlnm._FilterDatabase" localSheetId="0" hidden="1">'MDIP (MetaData)'!$A$3:$P$70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0" i="1" l="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 Bootsma</author>
  </authors>
  <commentList>
    <comment ref="J3" authorId="0" shapeId="0" xr:uid="{23B470D4-D6F6-4275-AC5A-A18366898972}">
      <text>
        <r>
          <rPr>
            <b/>
            <sz val="8"/>
            <color indexed="81"/>
            <rFont val="Calibri"/>
            <family val="2"/>
            <scheme val="minor"/>
          </rPr>
          <t xml:space="preserve">From v4.0.0 on the EDIFACT GOVCBR mapping will no longer be maintained.
The mapping as shown was last updated for WCO DM v3.11.0. </t>
        </r>
      </text>
    </comment>
  </commentList>
</comments>
</file>

<file path=xl/sharedStrings.xml><?xml version="1.0" encoding="utf-8"?>
<sst xmlns="http://schemas.openxmlformats.org/spreadsheetml/2006/main" count="612" uniqueCount="338">
  <si>
    <t>Seq. No.</t>
  </si>
  <si>
    <t>XPath</t>
  </si>
  <si>
    <t>WCO ID</t>
  </si>
  <si>
    <t>WCO Name</t>
  </si>
  <si>
    <t>WCO Definition</t>
  </si>
  <si>
    <t>WCO Format</t>
  </si>
  <si>
    <t>WCO Code List</t>
  </si>
  <si>
    <t>XML Tag</t>
  </si>
  <si>
    <t>Type</t>
  </si>
  <si>
    <t>Cell Address
(UCI + UPI)</t>
  </si>
  <si>
    <t>Min</t>
  </si>
  <si>
    <t>Max</t>
  </si>
  <si>
    <t>Number of Occurrences</t>
  </si>
  <si>
    <t>Unique Pos. ID</t>
  </si>
  <si>
    <t>GOVCBR Path</t>
  </si>
  <si>
    <t>Class</t>
  </si>
  <si>
    <t>Attr.</t>
  </si>
  <si>
    <t>CDT</t>
  </si>
  <si>
    <t>MDIP</t>
  </si>
  <si>
    <t>3MD</t>
  </si>
  <si>
    <t>Details related to meta data to be used related to the document.</t>
  </si>
  <si>
    <t>0001M</t>
  </si>
  <si>
    <t>C</t>
  </si>
  <si>
    <t>MDIP/WCODataModelVersion</t>
  </si>
  <si>
    <t>MD17</t>
  </si>
  <si>
    <t>WCO Data Model version code</t>
  </si>
  <si>
    <t>Code specifying the version of the WCO Data Model (e.g. 3.40).</t>
  </si>
  <si>
    <t>an..6</t>
  </si>
  <si>
    <t>WCO codes</t>
  </si>
  <si>
    <t>Code</t>
  </si>
  <si>
    <t>WCODataModelVersionCode</t>
  </si>
  <si>
    <t>E</t>
  </si>
  <si>
    <t>MDIP/WCOCategory</t>
  </si>
  <si>
    <t>MD18</t>
  </si>
  <si>
    <t>WCO category code</t>
  </si>
  <si>
    <t>Code specifying the category within the WCO Data Model.</t>
  </si>
  <si>
    <t>an..3</t>
  </si>
  <si>
    <t>WCOCategoryCode</t>
  </si>
  <si>
    <t>MDIP/WCOType</t>
  </si>
  <si>
    <t>MD19</t>
  </si>
  <si>
    <t>Message type code</t>
  </si>
  <si>
    <t>Code specifying the WCO Type.</t>
  </si>
  <si>
    <t>WCOTypeCode</t>
  </si>
  <si>
    <t>MDIP/responsibleCountry</t>
  </si>
  <si>
    <t>MD21</t>
  </si>
  <si>
    <t>Responsible country code</t>
  </si>
  <si>
    <t>Code specifying the country controlling the specification, maintenance and publication of the message type.</t>
  </si>
  <si>
    <t>a2</t>
  </si>
  <si>
    <t>ISO 3166-1</t>
  </si>
  <si>
    <t>ResponsibleCountryCode</t>
  </si>
  <si>
    <t>MDIP/responsibleAgency</t>
  </si>
  <si>
    <t>MD22</t>
  </si>
  <si>
    <t>Responsible agency code</t>
  </si>
  <si>
    <t>Code specifying the agency controlling the specification, maintenance and publication of the message type.</t>
  </si>
  <si>
    <t>an..2</t>
  </si>
  <si>
    <t>UN/EDIFACT code list 0051</t>
  </si>
  <si>
    <t>GOVCBR.UNH.S009.0051(0010:020:04)</t>
  </si>
  <si>
    <t>ResponsibleAgencyCode</t>
  </si>
  <si>
    <t>MDIP/responsibleAgencyName</t>
  </si>
  <si>
    <t>MD23</t>
  </si>
  <si>
    <t>Responsible agency name</t>
  </si>
  <si>
    <t>Name to identify the agency controlling the specification, maintenance and publication of the message type.</t>
  </si>
  <si>
    <t>an..70</t>
  </si>
  <si>
    <t>Text</t>
  </si>
  <si>
    <t>ResponsibleAgencyName</t>
  </si>
  <si>
    <t>MDIP/agencyAssignedCustomization</t>
  </si>
  <si>
    <t>MD24</t>
  </si>
  <si>
    <t>Agency assigned customization code</t>
  </si>
  <si>
    <t>Code specifying the agency responsible for the design and maintenance of the message type concerned, which further identifies the message.</t>
  </si>
  <si>
    <t>User codes</t>
  </si>
  <si>
    <t>GOVCBR.UNH.S009.0057(0010:020:05)</t>
  </si>
  <si>
    <t>AgencyAssignedCustomizationCode</t>
  </si>
  <si>
    <t>MDIP/agencyAssignedCustomizationVersion</t>
  </si>
  <si>
    <t>MD25</t>
  </si>
  <si>
    <t>Agency assigned customization version code</t>
  </si>
  <si>
    <t>Code specifying the version of the agency assigned customization.</t>
  </si>
  <si>
    <t>AgencyAssignedCustomizationVersionCode</t>
  </si>
  <si>
    <t>MDIP/functionalDefinition</t>
  </si>
  <si>
    <t>MD26</t>
  </si>
  <si>
    <t>Functional definition</t>
  </si>
  <si>
    <t>Definition of the function of the message.</t>
  </si>
  <si>
    <t>an..512</t>
  </si>
  <si>
    <t>FunctionalDefinition</t>
  </si>
  <si>
    <t>MDIP/BinaryFile</t>
  </si>
  <si>
    <t>72B</t>
  </si>
  <si>
    <t>BinaryFile</t>
  </si>
  <si>
    <t>Details related to the computer file or program stored in a binary format.</t>
  </si>
  <si>
    <t>unbounded</t>
  </si>
  <si>
    <t>0070M</t>
  </si>
  <si>
    <t>MDIP/BinaryFile/identification</t>
  </si>
  <si>
    <t>Binary file identifier</t>
  </si>
  <si>
    <t>Identification of this binary file.</t>
  </si>
  <si>
    <t>an..256</t>
  </si>
  <si>
    <t>Identifier</t>
  </si>
  <si>
    <t>ID</t>
  </si>
  <si>
    <t>MDIP/BinaryFile/title</t>
  </si>
  <si>
    <t>Binary file title</t>
  </si>
  <si>
    <t>Title of this binary file.</t>
  </si>
  <si>
    <t>Title</t>
  </si>
  <si>
    <t>MDIP/BinaryFile/authorName</t>
  </si>
  <si>
    <t>Binary file author name</t>
  </si>
  <si>
    <t>Name of the author for this binary file.</t>
  </si>
  <si>
    <t>AuthorName</t>
  </si>
  <si>
    <t>MDIP/BinaryFile/version</t>
  </si>
  <si>
    <t>Binary file version identifier</t>
  </si>
  <si>
    <t>Identification of the version for this binary file.</t>
  </si>
  <si>
    <t>an..17</t>
  </si>
  <si>
    <t>VersionID</t>
  </si>
  <si>
    <t>MDIP/BinaryFile/fileName</t>
  </si>
  <si>
    <t>Binary file name</t>
  </si>
  <si>
    <t>Name of the file usually including the file type for this binary file.</t>
  </si>
  <si>
    <t>FileNameText</t>
  </si>
  <si>
    <t>MDIP/BinaryFile/URI</t>
  </si>
  <si>
    <t>Binary file URI identifier</t>
  </si>
  <si>
    <t>Identification of the Uniform Resource Identifier (URI) for this binary file.</t>
  </si>
  <si>
    <t>an..2048</t>
  </si>
  <si>
    <t>URIID</t>
  </si>
  <si>
    <t>MDIP/BinaryFile/MIME</t>
  </si>
  <si>
    <t>Binary file MIME code</t>
  </si>
  <si>
    <t>Code specifying the Multipurpose Internet Mail Extensions (MIME) type for this binary file.</t>
  </si>
  <si>
    <t>MIMECode</t>
  </si>
  <si>
    <t>MDIP/BinaryFile/encoding</t>
  </si>
  <si>
    <t>Binary file encoding code</t>
  </si>
  <si>
    <t>Code specifying the encoding of this binary file.</t>
  </si>
  <si>
    <t>EncodingCode</t>
  </si>
  <si>
    <t>MDIP/BinaryFile/characterSet</t>
  </si>
  <si>
    <t>Binary file character set code</t>
  </si>
  <si>
    <t>Code specifying the character set for this binary file.</t>
  </si>
  <si>
    <t>n..17</t>
  </si>
  <si>
    <t>CharacterSetCode</t>
  </si>
  <si>
    <t>MDIP/BinaryFile/included</t>
  </si>
  <si>
    <t>Binary file included binary object</t>
  </si>
  <si>
    <t>Binary object included for this file.</t>
  </si>
  <si>
    <t>NA</t>
  </si>
  <si>
    <t>Binary Object</t>
  </si>
  <si>
    <t>IncludedBinaryObject</t>
  </si>
  <si>
    <t>MDIP/BinaryFile/access</t>
  </si>
  <si>
    <t>Binary file access information</t>
  </si>
  <si>
    <t>Information on access for this binary file such as security and download parameters.</t>
  </si>
  <si>
    <t>Access</t>
  </si>
  <si>
    <t>MDIP/BinaryFile/description</t>
  </si>
  <si>
    <t>Binary file description</t>
  </si>
  <si>
    <t>Description of this binary file.</t>
  </si>
  <si>
    <t>Description</t>
  </si>
  <si>
    <t>MDIP/BinaryFile/size</t>
  </si>
  <si>
    <t>Binary file size</t>
  </si>
  <si>
    <t>Measure of the size of this binary file.</t>
  </si>
  <si>
    <t>n..16,6</t>
  </si>
  <si>
    <t>Measure</t>
  </si>
  <si>
    <t>SizeMeasure</t>
  </si>
  <si>
    <t>MDIP/BinaryFile/type</t>
  </si>
  <si>
    <t>Binary file type code</t>
  </si>
  <si>
    <t>Code specifying the type of binary file, such as photo, spreadsheet.</t>
  </si>
  <si>
    <t>TypeCode</t>
  </si>
  <si>
    <t>MDIP/BinaryFile/hashCode</t>
  </si>
  <si>
    <t>Hash code</t>
  </si>
  <si>
    <t>Hash code of the binary file.</t>
  </si>
  <si>
    <t>HashCode</t>
  </si>
  <si>
    <t>MDIP/BinaryFile/hashCodeAlgorithmID</t>
  </si>
  <si>
    <t>Hash code algorithm ID code</t>
  </si>
  <si>
    <t>Code specifying the algorithm used to calculate the hash code (e.g. MD5).</t>
  </si>
  <si>
    <t>HashCodeAlgorithmIDCode</t>
  </si>
  <si>
    <t>MDIP/CommunicationMetaData</t>
  </si>
  <si>
    <t>1MD</t>
  </si>
  <si>
    <t>CommunicationMetaData</t>
  </si>
  <si>
    <t>Details related to meta data to be used for communication purposes.</t>
  </si>
  <si>
    <t>0190M</t>
  </si>
  <si>
    <t>MDIP/CommunicationMetaData/acknowledgementRequest</t>
  </si>
  <si>
    <t>MD01</t>
  </si>
  <si>
    <t>Acknowledgement request indicator</t>
  </si>
  <si>
    <t>Indicator requesting acknowledgement of the interchange.</t>
  </si>
  <si>
    <t>n1</t>
  </si>
  <si>
    <t>Indicator</t>
  </si>
  <si>
    <t>AcknowledgementRequestIndicator</t>
  </si>
  <si>
    <t>MDIP/CommunicationMetaData/applicationReference</t>
  </si>
  <si>
    <t>MD02</t>
  </si>
  <si>
    <t>Application reference identifier</t>
  </si>
  <si>
    <t>Identification of the application area assigned by the sender, to which the messages in the interchange relate (e.g. the message identifier if all the messages in the interchange are of the same type).</t>
  </si>
  <si>
    <t>GOVCBR.UNH.0062(0010:010)</t>
  </si>
  <si>
    <t>ApplicationReferenceID</t>
  </si>
  <si>
    <t>MDIP/CommunicationMetaData/communicationsAgreement</t>
  </si>
  <si>
    <t>MD03</t>
  </si>
  <si>
    <t>Communications agreement identifier</t>
  </si>
  <si>
    <t>Identification of the type of agreement under which the interchange takes place by name or code.</t>
  </si>
  <si>
    <t>an..35</t>
  </si>
  <si>
    <t>CommunicationsAgreementID</t>
  </si>
  <si>
    <t>MDIP/CommunicationMetaData/preparation</t>
  </si>
  <si>
    <t>MD04</t>
  </si>
  <si>
    <t>Preparation date/time</t>
  </si>
  <si>
    <t>Date and time locally when an interchange or a functional group was prepared.</t>
  </si>
  <si>
    <t>Date Time</t>
  </si>
  <si>
    <t>UNB.S004.0017(040:01)
UNB.S004.0019(040:02)</t>
  </si>
  <si>
    <t>PreparationDateTime</t>
  </si>
  <si>
    <t>MDIP/CommunicationMetaData/syntaxIdentification</t>
  </si>
  <si>
    <t>MD05</t>
  </si>
  <si>
    <t>Syntax identification code</t>
  </si>
  <si>
    <t>Code specifying the agency controlling a syntax and syntax level used in an interchange.</t>
  </si>
  <si>
    <t>a4</t>
  </si>
  <si>
    <t>UN/EDIFACT code list 0001</t>
  </si>
  <si>
    <t>UNB.S001.0001(010:01)</t>
  </si>
  <si>
    <t>SyntaxIdentificationCode</t>
  </si>
  <si>
    <t>MDIP/CommunicationMetaData/syntaxVersion</t>
  </si>
  <si>
    <t>MD06</t>
  </si>
  <si>
    <t>Syntax version code</t>
  </si>
  <si>
    <t>Code specifying  the version number of the syntax identified in the syntax identifier (e.g. 0001).</t>
  </si>
  <si>
    <t>UN/EDIFACT code list 0002</t>
  </si>
  <si>
    <t>UNB.S001.0002(010:02)</t>
  </si>
  <si>
    <t>SyntaxVersionCode</t>
  </si>
  <si>
    <t>MDIP/CommunicationMetaData/test</t>
  </si>
  <si>
    <t>MD07</t>
  </si>
  <si>
    <t>Test indicator</t>
  </si>
  <si>
    <t>Indicator that the interchange is a test.</t>
  </si>
  <si>
    <t>TestIndicator</t>
  </si>
  <si>
    <t>MDIP/CommunicationMetaData/sequence</t>
  </si>
  <si>
    <t>Sequence number</t>
  </si>
  <si>
    <t>Number indicating the position in a sequence.</t>
  </si>
  <si>
    <t>n..5</t>
  </si>
  <si>
    <t>Numeric</t>
  </si>
  <si>
    <t>SequenceNumeric</t>
  </si>
  <si>
    <t>MDIP/CommunicationMetaData/Recipient</t>
  </si>
  <si>
    <t>4MD</t>
  </si>
  <si>
    <t>Recipient</t>
  </si>
  <si>
    <t>Details related to the recipient of a message (technical information).</t>
  </si>
  <si>
    <t>0191M</t>
  </si>
  <si>
    <t>MDIP/CommunicationMetaData/Recipient/identification</t>
  </si>
  <si>
    <t>R161</t>
  </si>
  <si>
    <t>Recipient identifier</t>
  </si>
  <si>
    <t>Identification of the (message) recipient.</t>
  </si>
  <si>
    <t>UNB.S003.0010(030:01)</t>
  </si>
  <si>
    <t>MDIP/CommunicationMetaData/Recipient/role</t>
  </si>
  <si>
    <t>R005</t>
  </si>
  <si>
    <t>Role code</t>
  </si>
  <si>
    <t>Code specifying the role of a party.</t>
  </si>
  <si>
    <t>UN/EDIFACT code list 3035</t>
  </si>
  <si>
    <t>RoleCode</t>
  </si>
  <si>
    <t>MDIP/CommunicationMetaData/Recipient/identificationIssuingCountry</t>
  </si>
  <si>
    <t>R147</t>
  </si>
  <si>
    <t>Identification issuing country code</t>
  </si>
  <si>
    <t>Code specifying the issuing country of the identification.</t>
  </si>
  <si>
    <t>IdentificationIssuingCountryCode</t>
  </si>
  <si>
    <t>MDIP/CommunicationMetaData/Recipient/Communication</t>
  </si>
  <si>
    <t>25A</t>
  </si>
  <si>
    <t>Communication</t>
  </si>
  <si>
    <t>Details related to communication including number and number type.</t>
  </si>
  <si>
    <t>0193M</t>
  </si>
  <si>
    <t>MDIP/CommunicationMetaData/Recipient/Communication/identification</t>
  </si>
  <si>
    <t>Communication identifier</t>
  </si>
  <si>
    <t>Identification of the communication address.</t>
  </si>
  <si>
    <t>MDIP/CommunicationMetaData/Recipient/Communication/type</t>
  </si>
  <si>
    <t>Communication number type code</t>
  </si>
  <si>
    <t>Code specifying the type of communication address.</t>
  </si>
  <si>
    <t>UN/EDIFACT code list 3155</t>
  </si>
  <si>
    <t>MDIP/CommunicationMetaData/Recipient/AdditionalIdentifier</t>
  </si>
  <si>
    <t>23C</t>
  </si>
  <si>
    <t>AdditionalIdentifier</t>
  </si>
  <si>
    <t>Details related to an additional identification of a party.</t>
  </si>
  <si>
    <t>0192M</t>
  </si>
  <si>
    <t>MDIP/CommunicationMetaData/Recipient/AdditionalIdentifier/sequence</t>
  </si>
  <si>
    <t>MDIP/CommunicationMetaData/Recipient/AdditionalIdentifier/identification</t>
  </si>
  <si>
    <t>Additional identifier</t>
  </si>
  <si>
    <t>Identification of an additional party (e.g. VAT number).</t>
  </si>
  <si>
    <t>International codes (e.g. DUNS, EAN) OR User codes.
To be used with CDT attributes "Identification Scheme. Identifier" and
"Identification Scheme Agency. Identifier" to make the information unique</t>
  </si>
  <si>
    <t>MDIP/CommunicationMetaData/Recipient/AdditionalIdentifier/identificationIssuingCountry</t>
  </si>
  <si>
    <t>MDIP/CommunicationMetaData/Sender</t>
  </si>
  <si>
    <t>5MD</t>
  </si>
  <si>
    <t>Sender</t>
  </si>
  <si>
    <t>Details related to the sender of a message (technical information).</t>
  </si>
  <si>
    <t>0194M</t>
  </si>
  <si>
    <t>MDIP/CommunicationMetaData/Sender/identification</t>
  </si>
  <si>
    <t>R162</t>
  </si>
  <si>
    <t>Sender identifier</t>
  </si>
  <si>
    <t>Identification of  the (message) sender.</t>
  </si>
  <si>
    <t>UNB.S002.0004(020:01)</t>
  </si>
  <si>
    <t>MDIP/CommunicationMetaData/Sender/role</t>
  </si>
  <si>
    <t>MDIP/CommunicationMetaData/Sender/identificationIssuingCountry</t>
  </si>
  <si>
    <t>MDIP/CommunicationMetaData/Sender/Communication</t>
  </si>
  <si>
    <t>0196M</t>
  </si>
  <si>
    <t>MDIP/CommunicationMetaData/Sender/Communication/identification</t>
  </si>
  <si>
    <t>MDIP/CommunicationMetaData/Sender/Communication/type</t>
  </si>
  <si>
    <t>MDIP/CommunicationMetaData/Sender/AdditionalIdentifier</t>
  </si>
  <si>
    <t>0195M</t>
  </si>
  <si>
    <t>MDIP/CommunicationMetaData/Sender/AdditionalIdentifier/sequence</t>
  </si>
  <si>
    <t>MDIP/CommunicationMetaData/Sender/AdditionalIdentifier/identification</t>
  </si>
  <si>
    <t>MDIP/CommunicationMetaData/Sender/AdditionalIdentifier/identificationIssuingCountry</t>
  </si>
  <si>
    <t>MDIP/ContextMetaData</t>
  </si>
  <si>
    <t>2MD</t>
  </si>
  <si>
    <t>ContextMetaData</t>
  </si>
  <si>
    <t>Details related to meta data to be used related to the context.</t>
  </si>
  <si>
    <t>0833M</t>
  </si>
  <si>
    <t>MDIP/ContextMetaData/businessProcess</t>
  </si>
  <si>
    <t>MD09</t>
  </si>
  <si>
    <t>Business process context identifier</t>
  </si>
  <si>
    <t>Identification of the interaction between trading partners to achieve a given business objective.</t>
  </si>
  <si>
    <t>These values will be summarized and will be hierarchical where applicable. 
This list can be extended.
Default value "ALL" if no restrictions apply.</t>
  </si>
  <si>
    <t>BusinessProcessID</t>
  </si>
  <si>
    <t>MDIP/ContextMetaData/productClassification</t>
  </si>
  <si>
    <t>MD10</t>
  </si>
  <si>
    <t>Product classification context identifier</t>
  </si>
  <si>
    <t>Identification of the goods or services concerned in the collaboration.</t>
  </si>
  <si>
    <t>Use relevant HS codes OR text.
Default value "ALL" if no restrictions apply.</t>
  </si>
  <si>
    <t>ProductClassificationID</t>
  </si>
  <si>
    <t>MDIP/ContextMetaData/industryClassification</t>
  </si>
  <si>
    <t>MD11</t>
  </si>
  <si>
    <t>Industry classification context identifier</t>
  </si>
  <si>
    <t>Identification of the relevant trading partner industries.</t>
  </si>
  <si>
    <t>UN International Standard Industrial Classification (ISIC).
Default value "ALL" if no restrictions apply.</t>
  </si>
  <si>
    <t>IndustryClassificationID</t>
  </si>
  <si>
    <t>MDIP/ContextMetaData/geopolitical</t>
  </si>
  <si>
    <t>MD12</t>
  </si>
  <si>
    <t>Geopolitical context identifier</t>
  </si>
  <si>
    <t>Identification of where the business process is to be conducted.</t>
  </si>
  <si>
    <t>ISO 3166  including ISO 3166_1 and ISO 3166_2.
Default value "ALL" if no restrictions apply.</t>
  </si>
  <si>
    <t>GeopoliticalID</t>
  </si>
  <si>
    <t>MDIP/ContextMetaData/officialConstraints</t>
  </si>
  <si>
    <t>MD13</t>
  </si>
  <si>
    <t>Official constraints context identifier</t>
  </si>
  <si>
    <t>Identification of any legal restrictions or requirements on this business process.</t>
  </si>
  <si>
    <t>Proposed guideline: Use relevant laws, treaties OR regulations : User codes and abbreviations are allowed. 
Default  value "NONE" if no restrictions apply.</t>
  </si>
  <si>
    <t>OfficialConstraintslID</t>
  </si>
  <si>
    <t>MDIP/ContextMetaData/businessProcessRole</t>
  </si>
  <si>
    <t>MD14</t>
  </si>
  <si>
    <t>Business process role context identifier</t>
  </si>
  <si>
    <t>Identification of the roles played by the trading partners. 
These can be derived from the Business Process.</t>
  </si>
  <si>
    <t>To be supplied by the producer of My IP.
Default value "ALL" if no restrictions apply. 
&lt;Examples: Broker, ImpORter, forwarder etc.</t>
  </si>
  <si>
    <t>BusinessProcessRoleID</t>
  </si>
  <si>
    <t>MDIP/ContextMetaData/supportingRole</t>
  </si>
  <si>
    <t>MD15</t>
  </si>
  <si>
    <t>Supporting role context identifier</t>
  </si>
  <si>
    <t>Identification of other significant parties that will be using the data in the messages. Determine their role in the overall process.</t>
  </si>
  <si>
    <t>To be supplied by the producer of My IP.
Default value "ALL" if no restrictions apply.</t>
  </si>
  <si>
    <t>SupportingRoleID</t>
  </si>
  <si>
    <t>MDIP/ContextMetaData/systemCapabilities</t>
  </si>
  <si>
    <t>MD16</t>
  </si>
  <si>
    <t>System capabilities context identifier</t>
  </si>
  <si>
    <t>Identification of major restrictions derived from system, a class of systems or standard in the business situation. Identify the type of system .</t>
  </si>
  <si>
    <t>SystemCapabilitiesID</t>
  </si>
  <si>
    <t>006</t>
  </si>
  <si>
    <t>WCO Data Model v4.0.0-final Meta Data Information Package (MDIP)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</si>
</sst>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Calibri"/>
      <family val="2"/>
    </font>
    <font>
      <sz val="8"/>
      <color theme="1"/>
      <name val="Calibri"/>
      <family val="2"/>
    </font>
    <font>
      <sz val="8"/>
      <color theme="1"/>
      <name val="Calibri"/>
      <family val="2"/>
    </font>
    <font>
      <b/>
      <sz val="8"/>
      <color theme="0"/>
      <name val="Calibri"/>
      <family val="2"/>
    </font>
    <font>
      <b/>
      <sz val="8"/>
      <color theme="1"/>
      <name val="Calibri"/>
      <family val="2"/>
    </font>
    <font>
      <b/>
      <sz val="12"/>
      <color theme="0"/>
      <name val="Calibri"/>
      <family val="2"/>
    </font>
    <font>
      <sz val="12"/>
      <color theme="1"/>
      <name val="Calibri"/>
      <family val="2"/>
    </font>
    <font>
      <b/>
      <sz val="8"/>
      <color indexed="8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tint="-0.249977111117893"/>
        <bgColor indexed="64"/>
      </patternFill>
    </fill>
  </fills>
  <borders count="9">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top style="thin">
        <color theme="0" tint="-0.499984740745262"/>
      </top>
      <bottom/>
      <diagonal/>
    </border>
  </borders>
  <cellStyleXfs count="1">
    <xf numFmtId="0" fontId="0" fillId="0" borderId="0"/>
  </cellStyleXfs>
  <cellXfs count="35">
    <xf numFmtId="0" fontId="0" fillId="0" borderId="0" xfId="0"/>
    <xf numFmtId="0" fontId="6" fillId="0" borderId="0" xfId="0" applyFont="1" applyAlignment="1">
      <alignment vertical="top" wrapText="1"/>
    </xf>
    <xf numFmtId="0" fontId="3" fillId="2" borderId="2" xfId="0"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6" xfId="0" applyFont="1" applyFill="1" applyBorder="1" applyAlignment="1">
      <alignment horizontal="center" vertical="top" wrapText="1"/>
    </xf>
    <xf numFmtId="0" fontId="2" fillId="0" borderId="0" xfId="0" applyFont="1" applyAlignment="1">
      <alignment vertical="top" wrapText="1"/>
    </xf>
    <xf numFmtId="0" fontId="3" fillId="2" borderId="1" xfId="0" applyFont="1" applyFill="1" applyBorder="1" applyAlignment="1">
      <alignment horizontal="right" vertical="top" wrapText="1"/>
    </xf>
    <xf numFmtId="0" fontId="3" fillId="2" borderId="1" xfId="0" applyFont="1" applyFill="1" applyBorder="1" applyAlignment="1">
      <alignment horizontal="left" vertical="top" wrapText="1"/>
    </xf>
    <xf numFmtId="49" fontId="2" fillId="0" borderId="0" xfId="0" applyNumberFormat="1"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horizontal="right" vertical="top" wrapText="1"/>
    </xf>
    <xf numFmtId="0" fontId="2" fillId="0" borderId="0" xfId="0" applyFont="1" applyAlignment="1">
      <alignment horizontal="left" vertical="top" wrapText="1"/>
    </xf>
    <xf numFmtId="0" fontId="4" fillId="0" borderId="0" xfId="0" applyFont="1" applyAlignment="1">
      <alignment horizontal="center" vertical="top" wrapText="1"/>
    </xf>
    <xf numFmtId="0" fontId="3" fillId="2" borderId="6" xfId="0" applyFont="1" applyFill="1" applyBorder="1" applyAlignment="1">
      <alignment horizontal="left" vertical="top" wrapText="1"/>
    </xf>
    <xf numFmtId="0" fontId="3" fillId="2" borderId="7" xfId="0" applyFont="1" applyFill="1" applyBorder="1" applyAlignment="1">
      <alignment horizontal="left" vertical="top" wrapText="1"/>
    </xf>
    <xf numFmtId="0" fontId="3" fillId="2" borderId="8" xfId="0" applyFont="1" applyFill="1" applyBorder="1" applyAlignment="1">
      <alignment horizontal="center" vertical="top" wrapText="1"/>
    </xf>
    <xf numFmtId="0" fontId="5" fillId="2" borderId="3"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4" xfId="0" applyFont="1" applyFill="1" applyBorder="1" applyAlignment="1">
      <alignment horizontal="left" vertical="top" wrapText="1"/>
    </xf>
    <xf numFmtId="0" fontId="3" fillId="2" borderId="1" xfId="0" applyFont="1" applyFill="1" applyBorder="1" applyAlignment="1">
      <alignment vertical="top" wrapText="1"/>
    </xf>
    <xf numFmtId="49" fontId="3" fillId="2" borderId="1" xfId="0" applyNumberFormat="1" applyFont="1" applyFill="1" applyBorder="1" applyAlignment="1">
      <alignment horizontal="center" vertical="top" wrapText="1"/>
    </xf>
    <xf numFmtId="0" fontId="3" fillId="2" borderId="1" xfId="0" applyFont="1" applyFill="1" applyBorder="1" applyAlignment="1">
      <alignment horizontal="center" vertical="top" wrapText="1"/>
    </xf>
    <xf numFmtId="0" fontId="2" fillId="0" borderId="1" xfId="0" applyFont="1" applyBorder="1" applyAlignment="1">
      <alignment vertical="top" wrapText="1"/>
    </xf>
    <xf numFmtId="49" fontId="2" fillId="0" borderId="1" xfId="0" applyNumberFormat="1"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right" vertical="top" wrapText="1"/>
    </xf>
    <xf numFmtId="0" fontId="2" fillId="0" borderId="1" xfId="0" applyFont="1" applyBorder="1" applyAlignment="1">
      <alignment horizontal="left" vertical="top" wrapText="1"/>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4" fillId="3" borderId="1" xfId="0" applyFont="1" applyFill="1" applyBorder="1" applyAlignment="1">
      <alignment vertical="top" wrapText="1"/>
    </xf>
    <xf numFmtId="49" fontId="4" fillId="3" borderId="1" xfId="0" applyNumberFormat="1" applyFont="1" applyFill="1" applyBorder="1" applyAlignment="1">
      <alignment horizontal="center" vertical="top" wrapText="1"/>
    </xf>
    <xf numFmtId="0" fontId="4" fillId="3" borderId="1" xfId="0" applyFont="1" applyFill="1" applyBorder="1" applyAlignment="1">
      <alignment horizontal="right" vertical="top" wrapText="1"/>
    </xf>
    <xf numFmtId="0" fontId="4" fillId="3" borderId="1" xfId="0" applyFont="1" applyFill="1" applyBorder="1" applyAlignment="1">
      <alignment horizontal="left" vertical="top" wrapText="1"/>
    </xf>
    <xf numFmtId="49" fontId="1" fillId="0" borderId="1" xfId="0" applyNumberFormat="1" applyFont="1" applyBorder="1" applyAlignment="1">
      <alignment horizontal="center"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Kantoor">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Kanto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P70"/>
  <sheetViews>
    <sheetView showGridLines="0" tabSelected="1" workbookViewId="0">
      <pane xSplit="1" ySplit="3" topLeftCell="B4" activePane="bottomRight" state="frozen"/>
      <selection pane="topRight" activeCell="B1" sqref="B1"/>
      <selection pane="bottomLeft" activeCell="A4" sqref="A4"/>
      <selection pane="bottomRight" sqref="A1:P1"/>
    </sheetView>
  </sheetViews>
  <sheetFormatPr defaultRowHeight="11.25" x14ac:dyDescent="0.2"/>
  <cols>
    <col min="1" max="1" width="65.140625" style="6" bestFit="1" customWidth="1"/>
    <col min="2" max="2" width="6" style="9" bestFit="1" customWidth="1"/>
    <col min="3" max="3" width="31.42578125" style="6" bestFit="1" customWidth="1"/>
    <col min="4" max="4" width="137.5703125" style="6" bestFit="1" customWidth="1"/>
    <col min="5" max="5" width="9.28515625" style="10" bestFit="1" customWidth="1"/>
    <col min="6" max="6" width="3.7109375" style="11" bestFit="1" customWidth="1"/>
    <col min="7" max="7" width="8.7109375" style="12" bestFit="1" customWidth="1"/>
    <col min="8" max="8" width="74.85546875" style="12" bestFit="1" customWidth="1"/>
    <col min="9" max="9" width="10" style="10" bestFit="1" customWidth="1"/>
    <col min="10" max="10" width="41.85546875" style="6" customWidth="1"/>
    <col min="11" max="11" width="30.7109375" style="6" bestFit="1" customWidth="1"/>
    <col min="12" max="12" width="5.85546875" style="11" bestFit="1" customWidth="1"/>
    <col min="13" max="13" width="5.28515625" style="12" bestFit="1" customWidth="1"/>
    <col min="14" max="14" width="6.42578125" style="10" bestFit="1" customWidth="1"/>
    <col min="15" max="15" width="4.140625" style="13" bestFit="1" customWidth="1"/>
    <col min="16" max="16" width="11.42578125" style="10" bestFit="1" customWidth="1"/>
    <col min="17" max="16384" width="9.140625" style="6"/>
  </cols>
  <sheetData>
    <row r="1" spans="1:16" s="1" customFormat="1" ht="15.75" x14ac:dyDescent="0.2">
      <c r="A1" s="17" t="s">
        <v>337</v>
      </c>
      <c r="B1" s="18"/>
      <c r="C1" s="18"/>
      <c r="D1" s="18"/>
      <c r="E1" s="18"/>
      <c r="F1" s="18"/>
      <c r="G1" s="18"/>
      <c r="H1" s="18"/>
      <c r="I1" s="18"/>
      <c r="J1" s="18"/>
      <c r="K1" s="18"/>
      <c r="L1" s="18"/>
      <c r="M1" s="18"/>
      <c r="N1" s="18"/>
      <c r="O1" s="18"/>
      <c r="P1" s="19"/>
    </row>
    <row r="2" spans="1:16" ht="24.95" customHeight="1" x14ac:dyDescent="0.2">
      <c r="A2" s="2"/>
      <c r="B2" s="3"/>
      <c r="C2" s="2"/>
      <c r="D2" s="2"/>
      <c r="E2" s="4"/>
      <c r="F2" s="14" t="s">
        <v>12</v>
      </c>
      <c r="G2" s="15"/>
      <c r="H2" s="2"/>
      <c r="I2" s="5"/>
      <c r="J2" s="2"/>
      <c r="K2" s="2"/>
      <c r="L2" s="16" t="s">
        <v>13</v>
      </c>
      <c r="M2" s="16"/>
      <c r="N2" s="4"/>
      <c r="O2" s="4"/>
      <c r="P2" s="4"/>
    </row>
    <row r="3" spans="1:16" ht="39.950000000000003" customHeight="1" x14ac:dyDescent="0.2">
      <c r="A3" s="20" t="s">
        <v>1</v>
      </c>
      <c r="B3" s="21" t="s">
        <v>2</v>
      </c>
      <c r="C3" s="20" t="s">
        <v>3</v>
      </c>
      <c r="D3" s="20" t="s">
        <v>4</v>
      </c>
      <c r="E3" s="22" t="s">
        <v>5</v>
      </c>
      <c r="F3" s="7" t="s">
        <v>10</v>
      </c>
      <c r="G3" s="8" t="s">
        <v>11</v>
      </c>
      <c r="H3" s="8" t="s">
        <v>6</v>
      </c>
      <c r="I3" s="22" t="s">
        <v>17</v>
      </c>
      <c r="J3" s="8" t="s">
        <v>14</v>
      </c>
      <c r="K3" s="20" t="s">
        <v>7</v>
      </c>
      <c r="L3" s="7" t="s">
        <v>15</v>
      </c>
      <c r="M3" s="8" t="s">
        <v>16</v>
      </c>
      <c r="N3" s="22" t="s">
        <v>0</v>
      </c>
      <c r="O3" s="22" t="s">
        <v>8</v>
      </c>
      <c r="P3" s="22" t="s">
        <v>9</v>
      </c>
    </row>
    <row r="4" spans="1:16" x14ac:dyDescent="0.2">
      <c r="A4" s="30" t="s">
        <v>18</v>
      </c>
      <c r="B4" s="31" t="s">
        <v>19</v>
      </c>
      <c r="C4" s="30" t="s">
        <v>18</v>
      </c>
      <c r="D4" s="30" t="s">
        <v>20</v>
      </c>
      <c r="E4" s="29"/>
      <c r="F4" s="32"/>
      <c r="G4" s="33"/>
      <c r="H4" s="33"/>
      <c r="I4" s="29"/>
      <c r="J4" s="30"/>
      <c r="K4" s="30"/>
      <c r="L4" s="32" t="s">
        <v>21</v>
      </c>
      <c r="M4" s="33"/>
      <c r="N4" s="29">
        <v>1</v>
      </c>
      <c r="O4" s="29" t="s">
        <v>22</v>
      </c>
      <c r="P4" s="29" t="str">
        <f>_xlfn.CONCAT(L4," | ",M4)</f>
        <v xml:space="preserve">0001M | </v>
      </c>
    </row>
    <row r="5" spans="1:16" x14ac:dyDescent="0.2">
      <c r="A5" s="23" t="s">
        <v>23</v>
      </c>
      <c r="B5" s="24" t="s">
        <v>24</v>
      </c>
      <c r="C5" s="23" t="s">
        <v>25</v>
      </c>
      <c r="D5" s="23" t="s">
        <v>26</v>
      </c>
      <c r="E5" s="25" t="s">
        <v>27</v>
      </c>
      <c r="F5" s="26">
        <v>0</v>
      </c>
      <c r="G5" s="27">
        <v>1</v>
      </c>
      <c r="H5" s="27" t="s">
        <v>28</v>
      </c>
      <c r="I5" s="25" t="s">
        <v>29</v>
      </c>
      <c r="J5" s="23"/>
      <c r="K5" s="23" t="s">
        <v>30</v>
      </c>
      <c r="L5" s="26" t="s">
        <v>21</v>
      </c>
      <c r="M5" s="27">
        <v>9010</v>
      </c>
      <c r="N5" s="25">
        <v>2</v>
      </c>
      <c r="O5" s="28" t="s">
        <v>31</v>
      </c>
      <c r="P5" s="25" t="str">
        <f t="shared" ref="P5:P68" si="0">_xlfn.CONCAT(L5," | ",M5)</f>
        <v>0001M | 9010</v>
      </c>
    </row>
    <row r="6" spans="1:16" x14ac:dyDescent="0.2">
      <c r="A6" s="23" t="s">
        <v>32</v>
      </c>
      <c r="B6" s="24" t="s">
        <v>33</v>
      </c>
      <c r="C6" s="23" t="s">
        <v>34</v>
      </c>
      <c r="D6" s="23" t="s">
        <v>35</v>
      </c>
      <c r="E6" s="25" t="s">
        <v>36</v>
      </c>
      <c r="F6" s="26">
        <v>0</v>
      </c>
      <c r="G6" s="27">
        <v>1</v>
      </c>
      <c r="H6" s="27" t="s">
        <v>28</v>
      </c>
      <c r="I6" s="25" t="s">
        <v>29</v>
      </c>
      <c r="J6" s="23"/>
      <c r="K6" s="23" t="s">
        <v>37</v>
      </c>
      <c r="L6" s="26" t="s">
        <v>21</v>
      </c>
      <c r="M6" s="27">
        <v>9011</v>
      </c>
      <c r="N6" s="25">
        <v>3</v>
      </c>
      <c r="O6" s="28" t="s">
        <v>31</v>
      </c>
      <c r="P6" s="25" t="str">
        <f t="shared" si="0"/>
        <v>0001M | 9011</v>
      </c>
    </row>
    <row r="7" spans="1:16" x14ac:dyDescent="0.2">
      <c r="A7" s="23" t="s">
        <v>38</v>
      </c>
      <c r="B7" s="24" t="s">
        <v>39</v>
      </c>
      <c r="C7" s="23" t="s">
        <v>40</v>
      </c>
      <c r="D7" s="23" t="s">
        <v>41</v>
      </c>
      <c r="E7" s="25" t="s">
        <v>27</v>
      </c>
      <c r="F7" s="26">
        <v>0</v>
      </c>
      <c r="G7" s="27">
        <v>1</v>
      </c>
      <c r="H7" s="27" t="s">
        <v>28</v>
      </c>
      <c r="I7" s="25" t="s">
        <v>29</v>
      </c>
      <c r="J7" s="23"/>
      <c r="K7" s="23" t="s">
        <v>42</v>
      </c>
      <c r="L7" s="26" t="s">
        <v>21</v>
      </c>
      <c r="M7" s="27">
        <v>9012</v>
      </c>
      <c r="N7" s="25">
        <v>4</v>
      </c>
      <c r="O7" s="28" t="s">
        <v>31</v>
      </c>
      <c r="P7" s="25" t="str">
        <f t="shared" si="0"/>
        <v>0001M | 9012</v>
      </c>
    </row>
    <row r="8" spans="1:16" x14ac:dyDescent="0.2">
      <c r="A8" s="23" t="s">
        <v>43</v>
      </c>
      <c r="B8" s="24" t="s">
        <v>44</v>
      </c>
      <c r="C8" s="23" t="s">
        <v>45</v>
      </c>
      <c r="D8" s="23" t="s">
        <v>46</v>
      </c>
      <c r="E8" s="25" t="s">
        <v>47</v>
      </c>
      <c r="F8" s="26">
        <v>0</v>
      </c>
      <c r="G8" s="27">
        <v>1</v>
      </c>
      <c r="H8" s="27" t="s">
        <v>48</v>
      </c>
      <c r="I8" s="25" t="s">
        <v>29</v>
      </c>
      <c r="J8" s="23"/>
      <c r="K8" s="23" t="s">
        <v>49</v>
      </c>
      <c r="L8" s="26" t="s">
        <v>21</v>
      </c>
      <c r="M8" s="27">
        <v>9014</v>
      </c>
      <c r="N8" s="25">
        <v>5</v>
      </c>
      <c r="O8" s="28" t="s">
        <v>31</v>
      </c>
      <c r="P8" s="25" t="str">
        <f t="shared" si="0"/>
        <v>0001M | 9014</v>
      </c>
    </row>
    <row r="9" spans="1:16" x14ac:dyDescent="0.2">
      <c r="A9" s="23" t="s">
        <v>50</v>
      </c>
      <c r="B9" s="24" t="s">
        <v>51</v>
      </c>
      <c r="C9" s="23" t="s">
        <v>52</v>
      </c>
      <c r="D9" s="23" t="s">
        <v>53</v>
      </c>
      <c r="E9" s="25" t="s">
        <v>54</v>
      </c>
      <c r="F9" s="26">
        <v>0</v>
      </c>
      <c r="G9" s="27">
        <v>1</v>
      </c>
      <c r="H9" s="27" t="s">
        <v>55</v>
      </c>
      <c r="I9" s="25" t="s">
        <v>29</v>
      </c>
      <c r="J9" s="23" t="s">
        <v>56</v>
      </c>
      <c r="K9" s="23" t="s">
        <v>57</v>
      </c>
      <c r="L9" s="26" t="s">
        <v>21</v>
      </c>
      <c r="M9" s="27">
        <v>9015</v>
      </c>
      <c r="N9" s="25">
        <v>6</v>
      </c>
      <c r="O9" s="28" t="s">
        <v>31</v>
      </c>
      <c r="P9" s="25" t="str">
        <f t="shared" si="0"/>
        <v>0001M | 9015</v>
      </c>
    </row>
    <row r="10" spans="1:16" x14ac:dyDescent="0.2">
      <c r="A10" s="23" t="s">
        <v>58</v>
      </c>
      <c r="B10" s="24" t="s">
        <v>59</v>
      </c>
      <c r="C10" s="23" t="s">
        <v>60</v>
      </c>
      <c r="D10" s="23" t="s">
        <v>61</v>
      </c>
      <c r="E10" s="25" t="s">
        <v>62</v>
      </c>
      <c r="F10" s="26">
        <v>0</v>
      </c>
      <c r="G10" s="27">
        <v>1</v>
      </c>
      <c r="H10" s="27"/>
      <c r="I10" s="25" t="s">
        <v>63</v>
      </c>
      <c r="J10" s="23"/>
      <c r="K10" s="23" t="s">
        <v>64</v>
      </c>
      <c r="L10" s="26" t="s">
        <v>21</v>
      </c>
      <c r="M10" s="27">
        <v>9016</v>
      </c>
      <c r="N10" s="25">
        <v>7</v>
      </c>
      <c r="O10" s="28" t="s">
        <v>31</v>
      </c>
      <c r="P10" s="25" t="str">
        <f t="shared" si="0"/>
        <v>0001M | 9016</v>
      </c>
    </row>
    <row r="11" spans="1:16" x14ac:dyDescent="0.2">
      <c r="A11" s="23" t="s">
        <v>65</v>
      </c>
      <c r="B11" s="24" t="s">
        <v>66</v>
      </c>
      <c r="C11" s="23" t="s">
        <v>67</v>
      </c>
      <c r="D11" s="23" t="s">
        <v>68</v>
      </c>
      <c r="E11" s="25" t="s">
        <v>27</v>
      </c>
      <c r="F11" s="26">
        <v>0</v>
      </c>
      <c r="G11" s="27">
        <v>1</v>
      </c>
      <c r="H11" s="27" t="s">
        <v>69</v>
      </c>
      <c r="I11" s="25" t="s">
        <v>29</v>
      </c>
      <c r="J11" s="23" t="s">
        <v>70</v>
      </c>
      <c r="K11" s="23" t="s">
        <v>71</v>
      </c>
      <c r="L11" s="26" t="s">
        <v>21</v>
      </c>
      <c r="M11" s="27">
        <v>9000</v>
      </c>
      <c r="N11" s="25">
        <v>8</v>
      </c>
      <c r="O11" s="28" t="s">
        <v>31</v>
      </c>
      <c r="P11" s="25" t="str">
        <f t="shared" si="0"/>
        <v>0001M | 9000</v>
      </c>
    </row>
    <row r="12" spans="1:16" x14ac:dyDescent="0.2">
      <c r="A12" s="23" t="s">
        <v>72</v>
      </c>
      <c r="B12" s="24" t="s">
        <v>73</v>
      </c>
      <c r="C12" s="23" t="s">
        <v>74</v>
      </c>
      <c r="D12" s="23" t="s">
        <v>75</v>
      </c>
      <c r="E12" s="25" t="s">
        <v>36</v>
      </c>
      <c r="F12" s="26">
        <v>0</v>
      </c>
      <c r="G12" s="27">
        <v>1</v>
      </c>
      <c r="H12" s="27" t="s">
        <v>69</v>
      </c>
      <c r="I12" s="25" t="s">
        <v>29</v>
      </c>
      <c r="J12" s="23"/>
      <c r="K12" s="23" t="s">
        <v>76</v>
      </c>
      <c r="L12" s="26" t="s">
        <v>21</v>
      </c>
      <c r="M12" s="27">
        <v>9017</v>
      </c>
      <c r="N12" s="25">
        <v>9</v>
      </c>
      <c r="O12" s="28" t="s">
        <v>31</v>
      </c>
      <c r="P12" s="25" t="str">
        <f t="shared" si="0"/>
        <v>0001M | 9017</v>
      </c>
    </row>
    <row r="13" spans="1:16" x14ac:dyDescent="0.2">
      <c r="A13" s="23" t="s">
        <v>77</v>
      </c>
      <c r="B13" s="24" t="s">
        <v>78</v>
      </c>
      <c r="C13" s="23" t="s">
        <v>79</v>
      </c>
      <c r="D13" s="23" t="s">
        <v>80</v>
      </c>
      <c r="E13" s="25" t="s">
        <v>81</v>
      </c>
      <c r="F13" s="26">
        <v>0</v>
      </c>
      <c r="G13" s="27">
        <v>1</v>
      </c>
      <c r="H13" s="27"/>
      <c r="I13" s="25" t="s">
        <v>63</v>
      </c>
      <c r="J13" s="23"/>
      <c r="K13" s="23" t="s">
        <v>82</v>
      </c>
      <c r="L13" s="26" t="s">
        <v>21</v>
      </c>
      <c r="M13" s="27">
        <v>9018</v>
      </c>
      <c r="N13" s="25">
        <v>10</v>
      </c>
      <c r="O13" s="28" t="s">
        <v>31</v>
      </c>
      <c r="P13" s="25" t="str">
        <f t="shared" si="0"/>
        <v>0001M | 9018</v>
      </c>
    </row>
    <row r="14" spans="1:16" x14ac:dyDescent="0.2">
      <c r="A14" s="30" t="s">
        <v>83</v>
      </c>
      <c r="B14" s="31" t="s">
        <v>84</v>
      </c>
      <c r="C14" s="30" t="s">
        <v>85</v>
      </c>
      <c r="D14" s="30" t="s">
        <v>86</v>
      </c>
      <c r="E14" s="29"/>
      <c r="F14" s="32">
        <v>0</v>
      </c>
      <c r="G14" s="33" t="s">
        <v>87</v>
      </c>
      <c r="H14" s="33"/>
      <c r="I14" s="29"/>
      <c r="J14" s="30"/>
      <c r="K14" s="30"/>
      <c r="L14" s="32" t="s">
        <v>88</v>
      </c>
      <c r="M14" s="33"/>
      <c r="N14" s="29">
        <v>11</v>
      </c>
      <c r="O14" s="29" t="s">
        <v>22</v>
      </c>
      <c r="P14" s="29" t="str">
        <f t="shared" si="0"/>
        <v xml:space="preserve">0070M | </v>
      </c>
    </row>
    <row r="15" spans="1:16" x14ac:dyDescent="0.2">
      <c r="A15" s="23" t="s">
        <v>89</v>
      </c>
      <c r="B15" s="24">
        <v>551</v>
      </c>
      <c r="C15" s="23" t="s">
        <v>90</v>
      </c>
      <c r="D15" s="23" t="s">
        <v>91</v>
      </c>
      <c r="E15" s="25" t="s">
        <v>92</v>
      </c>
      <c r="F15" s="26">
        <v>0</v>
      </c>
      <c r="G15" s="27">
        <v>1</v>
      </c>
      <c r="H15" s="27"/>
      <c r="I15" s="25" t="s">
        <v>93</v>
      </c>
      <c r="J15" s="23"/>
      <c r="K15" s="23" t="s">
        <v>94</v>
      </c>
      <c r="L15" s="26" t="s">
        <v>88</v>
      </c>
      <c r="M15" s="27">
        <v>9019</v>
      </c>
      <c r="N15" s="25">
        <v>12</v>
      </c>
      <c r="O15" s="28" t="s">
        <v>31</v>
      </c>
      <c r="P15" s="25" t="str">
        <f t="shared" si="0"/>
        <v>0070M | 9019</v>
      </c>
    </row>
    <row r="16" spans="1:16" x14ac:dyDescent="0.2">
      <c r="A16" s="23" t="s">
        <v>95</v>
      </c>
      <c r="B16" s="24">
        <v>552</v>
      </c>
      <c r="C16" s="23" t="s">
        <v>96</v>
      </c>
      <c r="D16" s="23" t="s">
        <v>97</v>
      </c>
      <c r="E16" s="25" t="s">
        <v>92</v>
      </c>
      <c r="F16" s="26">
        <v>0</v>
      </c>
      <c r="G16" s="27">
        <v>1</v>
      </c>
      <c r="H16" s="27"/>
      <c r="I16" s="25" t="s">
        <v>63</v>
      </c>
      <c r="J16" s="23"/>
      <c r="K16" s="23" t="s">
        <v>98</v>
      </c>
      <c r="L16" s="26" t="s">
        <v>88</v>
      </c>
      <c r="M16" s="27">
        <v>9020</v>
      </c>
      <c r="N16" s="25">
        <v>13</v>
      </c>
      <c r="O16" s="28" t="s">
        <v>31</v>
      </c>
      <c r="P16" s="25" t="str">
        <f t="shared" si="0"/>
        <v>0070M | 9020</v>
      </c>
    </row>
    <row r="17" spans="1:16" x14ac:dyDescent="0.2">
      <c r="A17" s="23" t="s">
        <v>99</v>
      </c>
      <c r="B17" s="24">
        <v>553</v>
      </c>
      <c r="C17" s="23" t="s">
        <v>100</v>
      </c>
      <c r="D17" s="23" t="s">
        <v>101</v>
      </c>
      <c r="E17" s="25" t="s">
        <v>62</v>
      </c>
      <c r="F17" s="26">
        <v>0</v>
      </c>
      <c r="G17" s="27">
        <v>1</v>
      </c>
      <c r="H17" s="27"/>
      <c r="I17" s="25" t="s">
        <v>63</v>
      </c>
      <c r="J17" s="23"/>
      <c r="K17" s="23" t="s">
        <v>102</v>
      </c>
      <c r="L17" s="26" t="s">
        <v>88</v>
      </c>
      <c r="M17" s="27">
        <v>9021</v>
      </c>
      <c r="N17" s="25">
        <v>14</v>
      </c>
      <c r="O17" s="28" t="s">
        <v>31</v>
      </c>
      <c r="P17" s="25" t="str">
        <f t="shared" si="0"/>
        <v>0070M | 9021</v>
      </c>
    </row>
    <row r="18" spans="1:16" x14ac:dyDescent="0.2">
      <c r="A18" s="23" t="s">
        <v>103</v>
      </c>
      <c r="B18" s="24">
        <v>554</v>
      </c>
      <c r="C18" s="23" t="s">
        <v>104</v>
      </c>
      <c r="D18" s="23" t="s">
        <v>105</v>
      </c>
      <c r="E18" s="25" t="s">
        <v>106</v>
      </c>
      <c r="F18" s="26">
        <v>0</v>
      </c>
      <c r="G18" s="27">
        <v>1</v>
      </c>
      <c r="H18" s="27"/>
      <c r="I18" s="25" t="s">
        <v>93</v>
      </c>
      <c r="J18" s="23"/>
      <c r="K18" s="23" t="s">
        <v>107</v>
      </c>
      <c r="L18" s="26" t="s">
        <v>88</v>
      </c>
      <c r="M18" s="27">
        <v>9022</v>
      </c>
      <c r="N18" s="25">
        <v>15</v>
      </c>
      <c r="O18" s="28" t="s">
        <v>31</v>
      </c>
      <c r="P18" s="25" t="str">
        <f t="shared" si="0"/>
        <v>0070M | 9022</v>
      </c>
    </row>
    <row r="19" spans="1:16" x14ac:dyDescent="0.2">
      <c r="A19" s="23" t="s">
        <v>108</v>
      </c>
      <c r="B19" s="24">
        <v>555</v>
      </c>
      <c r="C19" s="23" t="s">
        <v>109</v>
      </c>
      <c r="D19" s="23" t="s">
        <v>110</v>
      </c>
      <c r="E19" s="25" t="s">
        <v>92</v>
      </c>
      <c r="F19" s="26">
        <v>0</v>
      </c>
      <c r="G19" s="27">
        <v>1</v>
      </c>
      <c r="H19" s="27"/>
      <c r="I19" s="25" t="s">
        <v>63</v>
      </c>
      <c r="J19" s="23"/>
      <c r="K19" s="23" t="s">
        <v>111</v>
      </c>
      <c r="L19" s="26" t="s">
        <v>88</v>
      </c>
      <c r="M19" s="27">
        <v>9023</v>
      </c>
      <c r="N19" s="25">
        <v>16</v>
      </c>
      <c r="O19" s="28" t="s">
        <v>31</v>
      </c>
      <c r="P19" s="25" t="str">
        <f t="shared" si="0"/>
        <v>0070M | 9023</v>
      </c>
    </row>
    <row r="20" spans="1:16" x14ac:dyDescent="0.2">
      <c r="A20" s="23" t="s">
        <v>112</v>
      </c>
      <c r="B20" s="24">
        <v>556</v>
      </c>
      <c r="C20" s="23" t="s">
        <v>113</v>
      </c>
      <c r="D20" s="23" t="s">
        <v>114</v>
      </c>
      <c r="E20" s="25" t="s">
        <v>115</v>
      </c>
      <c r="F20" s="26">
        <v>0</v>
      </c>
      <c r="G20" s="27">
        <v>1</v>
      </c>
      <c r="H20" s="27"/>
      <c r="I20" s="25" t="s">
        <v>93</v>
      </c>
      <c r="J20" s="23"/>
      <c r="K20" s="23" t="s">
        <v>116</v>
      </c>
      <c r="L20" s="26" t="s">
        <v>88</v>
      </c>
      <c r="M20" s="27">
        <v>9024</v>
      </c>
      <c r="N20" s="25">
        <v>17</v>
      </c>
      <c r="O20" s="28" t="s">
        <v>31</v>
      </c>
      <c r="P20" s="25" t="str">
        <f t="shared" si="0"/>
        <v>0070M | 9024</v>
      </c>
    </row>
    <row r="21" spans="1:16" x14ac:dyDescent="0.2">
      <c r="A21" s="23" t="s">
        <v>117</v>
      </c>
      <c r="B21" s="24">
        <v>557</v>
      </c>
      <c r="C21" s="23" t="s">
        <v>118</v>
      </c>
      <c r="D21" s="23" t="s">
        <v>119</v>
      </c>
      <c r="E21" s="25" t="s">
        <v>62</v>
      </c>
      <c r="F21" s="26">
        <v>0</v>
      </c>
      <c r="G21" s="27">
        <v>1</v>
      </c>
      <c r="H21" s="27"/>
      <c r="I21" s="25" t="s">
        <v>29</v>
      </c>
      <c r="J21" s="23"/>
      <c r="K21" s="23" t="s">
        <v>120</v>
      </c>
      <c r="L21" s="26" t="s">
        <v>88</v>
      </c>
      <c r="M21" s="27">
        <v>9025</v>
      </c>
      <c r="N21" s="25">
        <v>18</v>
      </c>
      <c r="O21" s="28" t="s">
        <v>31</v>
      </c>
      <c r="P21" s="25" t="str">
        <f t="shared" si="0"/>
        <v>0070M | 9025</v>
      </c>
    </row>
    <row r="22" spans="1:16" x14ac:dyDescent="0.2">
      <c r="A22" s="23" t="s">
        <v>121</v>
      </c>
      <c r="B22" s="24">
        <v>558</v>
      </c>
      <c r="C22" s="23" t="s">
        <v>122</v>
      </c>
      <c r="D22" s="23" t="s">
        <v>123</v>
      </c>
      <c r="E22" s="25" t="s">
        <v>106</v>
      </c>
      <c r="F22" s="26">
        <v>0</v>
      </c>
      <c r="G22" s="27">
        <v>1</v>
      </c>
      <c r="H22" s="27"/>
      <c r="I22" s="25" t="s">
        <v>29</v>
      </c>
      <c r="J22" s="23"/>
      <c r="K22" s="23" t="s">
        <v>124</v>
      </c>
      <c r="L22" s="26" t="s">
        <v>88</v>
      </c>
      <c r="M22" s="27">
        <v>9026</v>
      </c>
      <c r="N22" s="25">
        <v>19</v>
      </c>
      <c r="O22" s="28" t="s">
        <v>31</v>
      </c>
      <c r="P22" s="25" t="str">
        <f t="shared" si="0"/>
        <v>0070M | 9026</v>
      </c>
    </row>
    <row r="23" spans="1:16" x14ac:dyDescent="0.2">
      <c r="A23" s="23" t="s">
        <v>125</v>
      </c>
      <c r="B23" s="24">
        <v>559</v>
      </c>
      <c r="C23" s="23" t="s">
        <v>126</v>
      </c>
      <c r="D23" s="23" t="s">
        <v>127</v>
      </c>
      <c r="E23" s="25" t="s">
        <v>128</v>
      </c>
      <c r="F23" s="26">
        <v>0</v>
      </c>
      <c r="G23" s="27">
        <v>1</v>
      </c>
      <c r="H23" s="27"/>
      <c r="I23" s="25" t="s">
        <v>29</v>
      </c>
      <c r="J23" s="23"/>
      <c r="K23" s="23" t="s">
        <v>129</v>
      </c>
      <c r="L23" s="26" t="s">
        <v>88</v>
      </c>
      <c r="M23" s="27">
        <v>9027</v>
      </c>
      <c r="N23" s="25">
        <v>20</v>
      </c>
      <c r="O23" s="28" t="s">
        <v>31</v>
      </c>
      <c r="P23" s="25" t="str">
        <f t="shared" si="0"/>
        <v>0070M | 9027</v>
      </c>
    </row>
    <row r="24" spans="1:16" x14ac:dyDescent="0.2">
      <c r="A24" s="23" t="s">
        <v>130</v>
      </c>
      <c r="B24" s="24">
        <v>560</v>
      </c>
      <c r="C24" s="23" t="s">
        <v>131</v>
      </c>
      <c r="D24" s="23" t="s">
        <v>132</v>
      </c>
      <c r="E24" s="25" t="s">
        <v>133</v>
      </c>
      <c r="F24" s="26">
        <v>0</v>
      </c>
      <c r="G24" s="27">
        <v>1</v>
      </c>
      <c r="H24" s="27"/>
      <c r="I24" s="25" t="s">
        <v>134</v>
      </c>
      <c r="J24" s="23"/>
      <c r="K24" s="23" t="s">
        <v>135</v>
      </c>
      <c r="L24" s="26" t="s">
        <v>88</v>
      </c>
      <c r="M24" s="27">
        <v>9028</v>
      </c>
      <c r="N24" s="25">
        <v>21</v>
      </c>
      <c r="O24" s="28" t="s">
        <v>31</v>
      </c>
      <c r="P24" s="25" t="str">
        <f t="shared" si="0"/>
        <v>0070M | 9028</v>
      </c>
    </row>
    <row r="25" spans="1:16" x14ac:dyDescent="0.2">
      <c r="A25" s="23" t="s">
        <v>136</v>
      </c>
      <c r="B25" s="24">
        <v>561</v>
      </c>
      <c r="C25" s="23" t="s">
        <v>137</v>
      </c>
      <c r="D25" s="23" t="s">
        <v>138</v>
      </c>
      <c r="E25" s="25" t="s">
        <v>92</v>
      </c>
      <c r="F25" s="26">
        <v>0</v>
      </c>
      <c r="G25" s="27">
        <v>1</v>
      </c>
      <c r="H25" s="27"/>
      <c r="I25" s="25" t="s">
        <v>63</v>
      </c>
      <c r="J25" s="23"/>
      <c r="K25" s="23" t="s">
        <v>139</v>
      </c>
      <c r="L25" s="26" t="s">
        <v>88</v>
      </c>
      <c r="M25" s="27">
        <v>9029</v>
      </c>
      <c r="N25" s="25">
        <v>22</v>
      </c>
      <c r="O25" s="28" t="s">
        <v>31</v>
      </c>
      <c r="P25" s="25" t="str">
        <f t="shared" si="0"/>
        <v>0070M | 9029</v>
      </c>
    </row>
    <row r="26" spans="1:16" x14ac:dyDescent="0.2">
      <c r="A26" s="23" t="s">
        <v>140</v>
      </c>
      <c r="B26" s="24">
        <v>562</v>
      </c>
      <c r="C26" s="23" t="s">
        <v>141</v>
      </c>
      <c r="D26" s="23" t="s">
        <v>142</v>
      </c>
      <c r="E26" s="25" t="s">
        <v>92</v>
      </c>
      <c r="F26" s="26">
        <v>0</v>
      </c>
      <c r="G26" s="27">
        <v>1</v>
      </c>
      <c r="H26" s="27"/>
      <c r="I26" s="25" t="s">
        <v>63</v>
      </c>
      <c r="J26" s="23"/>
      <c r="K26" s="23" t="s">
        <v>143</v>
      </c>
      <c r="L26" s="26" t="s">
        <v>88</v>
      </c>
      <c r="M26" s="27">
        <v>9030</v>
      </c>
      <c r="N26" s="25">
        <v>23</v>
      </c>
      <c r="O26" s="28" t="s">
        <v>31</v>
      </c>
      <c r="P26" s="25" t="str">
        <f t="shared" si="0"/>
        <v>0070M | 9030</v>
      </c>
    </row>
    <row r="27" spans="1:16" x14ac:dyDescent="0.2">
      <c r="A27" s="23" t="s">
        <v>144</v>
      </c>
      <c r="B27" s="24">
        <v>563</v>
      </c>
      <c r="C27" s="23" t="s">
        <v>145</v>
      </c>
      <c r="D27" s="23" t="s">
        <v>146</v>
      </c>
      <c r="E27" s="25" t="s">
        <v>147</v>
      </c>
      <c r="F27" s="26">
        <v>0</v>
      </c>
      <c r="G27" s="27">
        <v>1</v>
      </c>
      <c r="H27" s="27"/>
      <c r="I27" s="25" t="s">
        <v>148</v>
      </c>
      <c r="J27" s="23"/>
      <c r="K27" s="23" t="s">
        <v>149</v>
      </c>
      <c r="L27" s="26" t="s">
        <v>88</v>
      </c>
      <c r="M27" s="27">
        <v>9031</v>
      </c>
      <c r="N27" s="25">
        <v>24</v>
      </c>
      <c r="O27" s="28" t="s">
        <v>31</v>
      </c>
      <c r="P27" s="25" t="str">
        <f t="shared" si="0"/>
        <v>0070M | 9031</v>
      </c>
    </row>
    <row r="28" spans="1:16" x14ac:dyDescent="0.2">
      <c r="A28" s="23" t="s">
        <v>150</v>
      </c>
      <c r="B28" s="24">
        <v>564</v>
      </c>
      <c r="C28" s="23" t="s">
        <v>151</v>
      </c>
      <c r="D28" s="23" t="s">
        <v>152</v>
      </c>
      <c r="E28" s="25" t="s">
        <v>27</v>
      </c>
      <c r="F28" s="26">
        <v>0</v>
      </c>
      <c r="G28" s="27">
        <v>1</v>
      </c>
      <c r="H28" s="27"/>
      <c r="I28" s="25" t="s">
        <v>29</v>
      </c>
      <c r="J28" s="23"/>
      <c r="K28" s="23" t="s">
        <v>153</v>
      </c>
      <c r="L28" s="26" t="s">
        <v>88</v>
      </c>
      <c r="M28" s="27">
        <v>9032</v>
      </c>
      <c r="N28" s="25">
        <v>25</v>
      </c>
      <c r="O28" s="28" t="s">
        <v>31</v>
      </c>
      <c r="P28" s="25" t="str">
        <f t="shared" si="0"/>
        <v>0070M | 9032</v>
      </c>
    </row>
    <row r="29" spans="1:16" x14ac:dyDescent="0.2">
      <c r="A29" s="23" t="s">
        <v>154</v>
      </c>
      <c r="B29" s="24">
        <v>565</v>
      </c>
      <c r="C29" s="23" t="s">
        <v>155</v>
      </c>
      <c r="D29" s="23" t="s">
        <v>156</v>
      </c>
      <c r="E29" s="25" t="s">
        <v>92</v>
      </c>
      <c r="F29" s="26">
        <v>0</v>
      </c>
      <c r="G29" s="27">
        <v>1</v>
      </c>
      <c r="H29" s="27"/>
      <c r="I29" s="25" t="s">
        <v>63</v>
      </c>
      <c r="J29" s="23"/>
      <c r="K29" s="23" t="s">
        <v>157</v>
      </c>
      <c r="L29" s="26" t="s">
        <v>88</v>
      </c>
      <c r="M29" s="27">
        <v>9033</v>
      </c>
      <c r="N29" s="25">
        <v>26</v>
      </c>
      <c r="O29" s="28" t="s">
        <v>31</v>
      </c>
      <c r="P29" s="25" t="str">
        <f t="shared" si="0"/>
        <v>0070M | 9033</v>
      </c>
    </row>
    <row r="30" spans="1:16" x14ac:dyDescent="0.2">
      <c r="A30" s="23" t="s">
        <v>158</v>
      </c>
      <c r="B30" s="24">
        <v>566</v>
      </c>
      <c r="C30" s="23" t="s">
        <v>159</v>
      </c>
      <c r="D30" s="23" t="s">
        <v>160</v>
      </c>
      <c r="E30" s="25" t="s">
        <v>27</v>
      </c>
      <c r="F30" s="26">
        <v>0</v>
      </c>
      <c r="G30" s="27">
        <v>1</v>
      </c>
      <c r="H30" s="27"/>
      <c r="I30" s="25" t="s">
        <v>29</v>
      </c>
      <c r="J30" s="23"/>
      <c r="K30" s="23" t="s">
        <v>161</v>
      </c>
      <c r="L30" s="26" t="s">
        <v>88</v>
      </c>
      <c r="M30" s="27">
        <v>9034</v>
      </c>
      <c r="N30" s="25">
        <v>27</v>
      </c>
      <c r="O30" s="28" t="s">
        <v>31</v>
      </c>
      <c r="P30" s="25" t="str">
        <f t="shared" si="0"/>
        <v>0070M | 9034</v>
      </c>
    </row>
    <row r="31" spans="1:16" x14ac:dyDescent="0.2">
      <c r="A31" s="30" t="s">
        <v>162</v>
      </c>
      <c r="B31" s="31" t="s">
        <v>163</v>
      </c>
      <c r="C31" s="30" t="s">
        <v>164</v>
      </c>
      <c r="D31" s="30" t="s">
        <v>165</v>
      </c>
      <c r="E31" s="29"/>
      <c r="F31" s="32">
        <v>0</v>
      </c>
      <c r="G31" s="33" t="s">
        <v>87</v>
      </c>
      <c r="H31" s="33"/>
      <c r="I31" s="29"/>
      <c r="J31" s="30"/>
      <c r="K31" s="30"/>
      <c r="L31" s="32" t="s">
        <v>166</v>
      </c>
      <c r="M31" s="33"/>
      <c r="N31" s="29">
        <v>28</v>
      </c>
      <c r="O31" s="29" t="s">
        <v>22</v>
      </c>
      <c r="P31" s="29" t="str">
        <f t="shared" si="0"/>
        <v xml:space="preserve">0190M | </v>
      </c>
    </row>
    <row r="32" spans="1:16" x14ac:dyDescent="0.2">
      <c r="A32" s="23" t="s">
        <v>167</v>
      </c>
      <c r="B32" s="24" t="s">
        <v>168</v>
      </c>
      <c r="C32" s="23" t="s">
        <v>169</v>
      </c>
      <c r="D32" s="23" t="s">
        <v>170</v>
      </c>
      <c r="E32" s="25" t="s">
        <v>171</v>
      </c>
      <c r="F32" s="26">
        <v>0</v>
      </c>
      <c r="G32" s="27">
        <v>1</v>
      </c>
      <c r="H32" s="27"/>
      <c r="I32" s="25" t="s">
        <v>172</v>
      </c>
      <c r="J32" s="23"/>
      <c r="K32" s="23" t="s">
        <v>173</v>
      </c>
      <c r="L32" s="26" t="s">
        <v>166</v>
      </c>
      <c r="M32" s="27">
        <v>9001</v>
      </c>
      <c r="N32" s="25">
        <v>29</v>
      </c>
      <c r="O32" s="28" t="s">
        <v>31</v>
      </c>
      <c r="P32" s="25" t="str">
        <f t="shared" si="0"/>
        <v>0190M | 9001</v>
      </c>
    </row>
    <row r="33" spans="1:16" x14ac:dyDescent="0.2">
      <c r="A33" s="23" t="s">
        <v>174</v>
      </c>
      <c r="B33" s="24" t="s">
        <v>175</v>
      </c>
      <c r="C33" s="23" t="s">
        <v>176</v>
      </c>
      <c r="D33" s="23" t="s">
        <v>177</v>
      </c>
      <c r="E33" s="25" t="s">
        <v>62</v>
      </c>
      <c r="F33" s="26">
        <v>0</v>
      </c>
      <c r="G33" s="27">
        <v>1</v>
      </c>
      <c r="H33" s="27"/>
      <c r="I33" s="25" t="s">
        <v>93</v>
      </c>
      <c r="J33" s="23" t="s">
        <v>178</v>
      </c>
      <c r="K33" s="23" t="s">
        <v>179</v>
      </c>
      <c r="L33" s="26" t="s">
        <v>166</v>
      </c>
      <c r="M33" s="27">
        <v>9002</v>
      </c>
      <c r="N33" s="25">
        <v>30</v>
      </c>
      <c r="O33" s="28" t="s">
        <v>31</v>
      </c>
      <c r="P33" s="25" t="str">
        <f t="shared" si="0"/>
        <v>0190M | 9002</v>
      </c>
    </row>
    <row r="34" spans="1:16" x14ac:dyDescent="0.2">
      <c r="A34" s="23" t="s">
        <v>180</v>
      </c>
      <c r="B34" s="24" t="s">
        <v>181</v>
      </c>
      <c r="C34" s="23" t="s">
        <v>182</v>
      </c>
      <c r="D34" s="23" t="s">
        <v>183</v>
      </c>
      <c r="E34" s="25" t="s">
        <v>184</v>
      </c>
      <c r="F34" s="26">
        <v>0</v>
      </c>
      <c r="G34" s="27">
        <v>1</v>
      </c>
      <c r="H34" s="27"/>
      <c r="I34" s="25" t="s">
        <v>93</v>
      </c>
      <c r="J34" s="23"/>
      <c r="K34" s="23" t="s">
        <v>185</v>
      </c>
      <c r="L34" s="26" t="s">
        <v>166</v>
      </c>
      <c r="M34" s="27">
        <v>9003</v>
      </c>
      <c r="N34" s="25">
        <v>31</v>
      </c>
      <c r="O34" s="28" t="s">
        <v>31</v>
      </c>
      <c r="P34" s="25" t="str">
        <f t="shared" si="0"/>
        <v>0190M | 9003</v>
      </c>
    </row>
    <row r="35" spans="1:16" ht="22.5" x14ac:dyDescent="0.2">
      <c r="A35" s="23" t="s">
        <v>186</v>
      </c>
      <c r="B35" s="24" t="s">
        <v>187</v>
      </c>
      <c r="C35" s="23" t="s">
        <v>188</v>
      </c>
      <c r="D35" s="23" t="s">
        <v>189</v>
      </c>
      <c r="E35" s="25" t="s">
        <v>184</v>
      </c>
      <c r="F35" s="26">
        <v>0</v>
      </c>
      <c r="G35" s="27">
        <v>1</v>
      </c>
      <c r="H35" s="27"/>
      <c r="I35" s="25" t="s">
        <v>190</v>
      </c>
      <c r="J35" s="23" t="s">
        <v>191</v>
      </c>
      <c r="K35" s="23" t="s">
        <v>192</v>
      </c>
      <c r="L35" s="26" t="s">
        <v>166</v>
      </c>
      <c r="M35" s="27">
        <v>9004</v>
      </c>
      <c r="N35" s="25">
        <v>32</v>
      </c>
      <c r="O35" s="28" t="s">
        <v>31</v>
      </c>
      <c r="P35" s="25" t="str">
        <f t="shared" si="0"/>
        <v>0190M | 9004</v>
      </c>
    </row>
    <row r="36" spans="1:16" x14ac:dyDescent="0.2">
      <c r="A36" s="23" t="s">
        <v>193</v>
      </c>
      <c r="B36" s="24" t="s">
        <v>194</v>
      </c>
      <c r="C36" s="23" t="s">
        <v>195</v>
      </c>
      <c r="D36" s="23" t="s">
        <v>196</v>
      </c>
      <c r="E36" s="25" t="s">
        <v>197</v>
      </c>
      <c r="F36" s="26">
        <v>0</v>
      </c>
      <c r="G36" s="27">
        <v>1</v>
      </c>
      <c r="H36" s="27" t="s">
        <v>198</v>
      </c>
      <c r="I36" s="25" t="s">
        <v>29</v>
      </c>
      <c r="J36" s="23" t="s">
        <v>199</v>
      </c>
      <c r="K36" s="23" t="s">
        <v>200</v>
      </c>
      <c r="L36" s="26" t="s">
        <v>166</v>
      </c>
      <c r="M36" s="27">
        <v>9005</v>
      </c>
      <c r="N36" s="25">
        <v>33</v>
      </c>
      <c r="O36" s="28" t="s">
        <v>31</v>
      </c>
      <c r="P36" s="25" t="str">
        <f t="shared" si="0"/>
        <v>0190M | 9005</v>
      </c>
    </row>
    <row r="37" spans="1:16" x14ac:dyDescent="0.2">
      <c r="A37" s="23" t="s">
        <v>201</v>
      </c>
      <c r="B37" s="24" t="s">
        <v>202</v>
      </c>
      <c r="C37" s="23" t="s">
        <v>203</v>
      </c>
      <c r="D37" s="23" t="s">
        <v>204</v>
      </c>
      <c r="E37" s="25" t="s">
        <v>171</v>
      </c>
      <c r="F37" s="26">
        <v>0</v>
      </c>
      <c r="G37" s="27">
        <v>1</v>
      </c>
      <c r="H37" s="27" t="s">
        <v>205</v>
      </c>
      <c r="I37" s="25" t="s">
        <v>29</v>
      </c>
      <c r="J37" s="23" t="s">
        <v>206</v>
      </c>
      <c r="K37" s="23" t="s">
        <v>207</v>
      </c>
      <c r="L37" s="26" t="s">
        <v>166</v>
      </c>
      <c r="M37" s="27">
        <v>9006</v>
      </c>
      <c r="N37" s="25">
        <v>34</v>
      </c>
      <c r="O37" s="28" t="s">
        <v>31</v>
      </c>
      <c r="P37" s="25" t="str">
        <f t="shared" si="0"/>
        <v>0190M | 9006</v>
      </c>
    </row>
    <row r="38" spans="1:16" x14ac:dyDescent="0.2">
      <c r="A38" s="23" t="s">
        <v>208</v>
      </c>
      <c r="B38" s="24" t="s">
        <v>209</v>
      </c>
      <c r="C38" s="23" t="s">
        <v>210</v>
      </c>
      <c r="D38" s="23" t="s">
        <v>211</v>
      </c>
      <c r="E38" s="25" t="s">
        <v>171</v>
      </c>
      <c r="F38" s="26">
        <v>0</v>
      </c>
      <c r="G38" s="27">
        <v>1</v>
      </c>
      <c r="H38" s="27"/>
      <c r="I38" s="25" t="s">
        <v>172</v>
      </c>
      <c r="J38" s="23"/>
      <c r="K38" s="23" t="s">
        <v>212</v>
      </c>
      <c r="L38" s="26" t="s">
        <v>166</v>
      </c>
      <c r="M38" s="27">
        <v>9007</v>
      </c>
      <c r="N38" s="25">
        <v>35</v>
      </c>
      <c r="O38" s="28" t="s">
        <v>31</v>
      </c>
      <c r="P38" s="25" t="str">
        <f t="shared" si="0"/>
        <v>0190M | 9007</v>
      </c>
    </row>
    <row r="39" spans="1:16" x14ac:dyDescent="0.2">
      <c r="A39" s="23" t="s">
        <v>213</v>
      </c>
      <c r="B39" s="34" t="s">
        <v>336</v>
      </c>
      <c r="C39" s="23" t="s">
        <v>214</v>
      </c>
      <c r="D39" s="23" t="s">
        <v>215</v>
      </c>
      <c r="E39" s="25" t="s">
        <v>216</v>
      </c>
      <c r="F39" s="26">
        <v>0</v>
      </c>
      <c r="G39" s="27">
        <v>1</v>
      </c>
      <c r="H39" s="27"/>
      <c r="I39" s="25" t="s">
        <v>217</v>
      </c>
      <c r="J39" s="23"/>
      <c r="K39" s="23" t="s">
        <v>218</v>
      </c>
      <c r="L39" s="26" t="s">
        <v>166</v>
      </c>
      <c r="M39" s="27">
        <v>9049</v>
      </c>
      <c r="N39" s="25">
        <v>36</v>
      </c>
      <c r="O39" s="28" t="s">
        <v>31</v>
      </c>
      <c r="P39" s="25" t="str">
        <f t="shared" si="0"/>
        <v>0190M | 9049</v>
      </c>
    </row>
    <row r="40" spans="1:16" x14ac:dyDescent="0.2">
      <c r="A40" s="30" t="s">
        <v>219</v>
      </c>
      <c r="B40" s="31" t="s">
        <v>220</v>
      </c>
      <c r="C40" s="30" t="s">
        <v>221</v>
      </c>
      <c r="D40" s="30" t="s">
        <v>222</v>
      </c>
      <c r="E40" s="29"/>
      <c r="F40" s="32">
        <v>0</v>
      </c>
      <c r="G40" s="33" t="s">
        <v>87</v>
      </c>
      <c r="H40" s="33"/>
      <c r="I40" s="29"/>
      <c r="J40" s="30"/>
      <c r="K40" s="30"/>
      <c r="L40" s="32" t="s">
        <v>223</v>
      </c>
      <c r="M40" s="33"/>
      <c r="N40" s="29">
        <v>37</v>
      </c>
      <c r="O40" s="29" t="s">
        <v>22</v>
      </c>
      <c r="P40" s="29" t="str">
        <f t="shared" si="0"/>
        <v xml:space="preserve">0191M | </v>
      </c>
    </row>
    <row r="41" spans="1:16" x14ac:dyDescent="0.2">
      <c r="A41" s="23" t="s">
        <v>224</v>
      </c>
      <c r="B41" s="24" t="s">
        <v>225</v>
      </c>
      <c r="C41" s="23" t="s">
        <v>226</v>
      </c>
      <c r="D41" s="23" t="s">
        <v>227</v>
      </c>
      <c r="E41" s="25" t="s">
        <v>184</v>
      </c>
      <c r="F41" s="26">
        <v>0</v>
      </c>
      <c r="G41" s="27">
        <v>1</v>
      </c>
      <c r="H41" s="27"/>
      <c r="I41" s="25" t="s">
        <v>93</v>
      </c>
      <c r="J41" s="23" t="s">
        <v>228</v>
      </c>
      <c r="K41" s="23" t="s">
        <v>94</v>
      </c>
      <c r="L41" s="26" t="s">
        <v>223</v>
      </c>
      <c r="M41" s="27">
        <v>9008</v>
      </c>
      <c r="N41" s="25">
        <v>38</v>
      </c>
      <c r="O41" s="28" t="s">
        <v>31</v>
      </c>
      <c r="P41" s="25" t="str">
        <f t="shared" si="0"/>
        <v>0191M | 9008</v>
      </c>
    </row>
    <row r="42" spans="1:16" x14ac:dyDescent="0.2">
      <c r="A42" s="23" t="s">
        <v>229</v>
      </c>
      <c r="B42" s="24" t="s">
        <v>230</v>
      </c>
      <c r="C42" s="23" t="s">
        <v>231</v>
      </c>
      <c r="D42" s="23" t="s">
        <v>232</v>
      </c>
      <c r="E42" s="25" t="s">
        <v>36</v>
      </c>
      <c r="F42" s="26">
        <v>0</v>
      </c>
      <c r="G42" s="27">
        <v>1</v>
      </c>
      <c r="H42" s="27" t="s">
        <v>233</v>
      </c>
      <c r="I42" s="25" t="s">
        <v>29</v>
      </c>
      <c r="J42" s="23"/>
      <c r="K42" s="23" t="s">
        <v>234</v>
      </c>
      <c r="L42" s="26" t="s">
        <v>223</v>
      </c>
      <c r="M42" s="27">
        <v>9035</v>
      </c>
      <c r="N42" s="25">
        <v>39</v>
      </c>
      <c r="O42" s="28" t="s">
        <v>31</v>
      </c>
      <c r="P42" s="25" t="str">
        <f t="shared" si="0"/>
        <v>0191M | 9035</v>
      </c>
    </row>
    <row r="43" spans="1:16" x14ac:dyDescent="0.2">
      <c r="A43" s="23" t="s">
        <v>235</v>
      </c>
      <c r="B43" s="24" t="s">
        <v>236</v>
      </c>
      <c r="C43" s="23" t="s">
        <v>237</v>
      </c>
      <c r="D43" s="23" t="s">
        <v>238</v>
      </c>
      <c r="E43" s="25" t="s">
        <v>47</v>
      </c>
      <c r="F43" s="26">
        <v>0</v>
      </c>
      <c r="G43" s="27">
        <v>1</v>
      </c>
      <c r="H43" s="27" t="s">
        <v>48</v>
      </c>
      <c r="I43" s="25" t="s">
        <v>29</v>
      </c>
      <c r="J43" s="23"/>
      <c r="K43" s="23" t="s">
        <v>239</v>
      </c>
      <c r="L43" s="26" t="s">
        <v>223</v>
      </c>
      <c r="M43" s="27">
        <v>11396</v>
      </c>
      <c r="N43" s="25">
        <v>40</v>
      </c>
      <c r="O43" s="28" t="s">
        <v>31</v>
      </c>
      <c r="P43" s="25" t="str">
        <f t="shared" si="0"/>
        <v>0191M | 11396</v>
      </c>
    </row>
    <row r="44" spans="1:16" x14ac:dyDescent="0.2">
      <c r="A44" s="30" t="s">
        <v>240</v>
      </c>
      <c r="B44" s="31" t="s">
        <v>241</v>
      </c>
      <c r="C44" s="30" t="s">
        <v>242</v>
      </c>
      <c r="D44" s="30" t="s">
        <v>243</v>
      </c>
      <c r="E44" s="29"/>
      <c r="F44" s="32">
        <v>0</v>
      </c>
      <c r="G44" s="33" t="s">
        <v>87</v>
      </c>
      <c r="H44" s="33"/>
      <c r="I44" s="29"/>
      <c r="J44" s="30"/>
      <c r="K44" s="30"/>
      <c r="L44" s="32" t="s">
        <v>244</v>
      </c>
      <c r="M44" s="33"/>
      <c r="N44" s="29">
        <v>41</v>
      </c>
      <c r="O44" s="29" t="s">
        <v>22</v>
      </c>
      <c r="P44" s="29" t="str">
        <f t="shared" si="0"/>
        <v xml:space="preserve">0193M | </v>
      </c>
    </row>
    <row r="45" spans="1:16" x14ac:dyDescent="0.2">
      <c r="A45" s="23" t="s">
        <v>245</v>
      </c>
      <c r="B45" s="24">
        <v>240</v>
      </c>
      <c r="C45" s="23" t="s">
        <v>246</v>
      </c>
      <c r="D45" s="23" t="s">
        <v>247</v>
      </c>
      <c r="E45" s="25" t="s">
        <v>92</v>
      </c>
      <c r="F45" s="26">
        <v>0</v>
      </c>
      <c r="G45" s="27">
        <v>1</v>
      </c>
      <c r="H45" s="27"/>
      <c r="I45" s="25" t="s">
        <v>93</v>
      </c>
      <c r="J45" s="23"/>
      <c r="K45" s="23" t="s">
        <v>94</v>
      </c>
      <c r="L45" s="26" t="s">
        <v>244</v>
      </c>
      <c r="M45" s="27">
        <v>9036</v>
      </c>
      <c r="N45" s="25">
        <v>42</v>
      </c>
      <c r="O45" s="28" t="s">
        <v>31</v>
      </c>
      <c r="P45" s="25" t="str">
        <f t="shared" si="0"/>
        <v>0193M | 9036</v>
      </c>
    </row>
    <row r="46" spans="1:16" x14ac:dyDescent="0.2">
      <c r="A46" s="23" t="s">
        <v>248</v>
      </c>
      <c r="B46" s="24">
        <v>253</v>
      </c>
      <c r="C46" s="23" t="s">
        <v>249</v>
      </c>
      <c r="D46" s="23" t="s">
        <v>250</v>
      </c>
      <c r="E46" s="25" t="s">
        <v>36</v>
      </c>
      <c r="F46" s="26">
        <v>0</v>
      </c>
      <c r="G46" s="27">
        <v>1</v>
      </c>
      <c r="H46" s="27" t="s">
        <v>251</v>
      </c>
      <c r="I46" s="25" t="s">
        <v>29</v>
      </c>
      <c r="J46" s="23"/>
      <c r="K46" s="23" t="s">
        <v>153</v>
      </c>
      <c r="L46" s="26" t="s">
        <v>244</v>
      </c>
      <c r="M46" s="27">
        <v>9037</v>
      </c>
      <c r="N46" s="25">
        <v>43</v>
      </c>
      <c r="O46" s="28" t="s">
        <v>31</v>
      </c>
      <c r="P46" s="25" t="str">
        <f t="shared" si="0"/>
        <v>0193M | 9037</v>
      </c>
    </row>
    <row r="47" spans="1:16" x14ac:dyDescent="0.2">
      <c r="A47" s="30" t="s">
        <v>252</v>
      </c>
      <c r="B47" s="31" t="s">
        <v>253</v>
      </c>
      <c r="C47" s="30" t="s">
        <v>254</v>
      </c>
      <c r="D47" s="30" t="s">
        <v>255</v>
      </c>
      <c r="E47" s="29"/>
      <c r="F47" s="32">
        <v>0</v>
      </c>
      <c r="G47" s="33" t="s">
        <v>87</v>
      </c>
      <c r="H47" s="33"/>
      <c r="I47" s="29"/>
      <c r="J47" s="30"/>
      <c r="K47" s="30"/>
      <c r="L47" s="32" t="s">
        <v>256</v>
      </c>
      <c r="M47" s="33"/>
      <c r="N47" s="29">
        <v>44</v>
      </c>
      <c r="O47" s="29" t="s">
        <v>22</v>
      </c>
      <c r="P47" s="29" t="str">
        <f t="shared" si="0"/>
        <v xml:space="preserve">0192M | </v>
      </c>
    </row>
    <row r="48" spans="1:16" x14ac:dyDescent="0.2">
      <c r="A48" s="23" t="s">
        <v>257</v>
      </c>
      <c r="B48" s="34" t="s">
        <v>336</v>
      </c>
      <c r="C48" s="23" t="s">
        <v>214</v>
      </c>
      <c r="D48" s="23" t="s">
        <v>215</v>
      </c>
      <c r="E48" s="25" t="s">
        <v>216</v>
      </c>
      <c r="F48" s="26">
        <v>0</v>
      </c>
      <c r="G48" s="27">
        <v>1</v>
      </c>
      <c r="H48" s="27"/>
      <c r="I48" s="25" t="s">
        <v>217</v>
      </c>
      <c r="J48" s="23"/>
      <c r="K48" s="23" t="s">
        <v>218</v>
      </c>
      <c r="L48" s="26" t="s">
        <v>256</v>
      </c>
      <c r="M48" s="27">
        <v>10843</v>
      </c>
      <c r="N48" s="25">
        <v>45</v>
      </c>
      <c r="O48" s="28" t="s">
        <v>31</v>
      </c>
      <c r="P48" s="25" t="str">
        <f t="shared" si="0"/>
        <v>0192M | 10843</v>
      </c>
    </row>
    <row r="49" spans="1:16" ht="33.75" x14ac:dyDescent="0.2">
      <c r="A49" s="23" t="s">
        <v>258</v>
      </c>
      <c r="B49" s="24">
        <v>511</v>
      </c>
      <c r="C49" s="23" t="s">
        <v>259</v>
      </c>
      <c r="D49" s="23" t="s">
        <v>260</v>
      </c>
      <c r="E49" s="25" t="s">
        <v>184</v>
      </c>
      <c r="F49" s="26">
        <v>0</v>
      </c>
      <c r="G49" s="27">
        <v>1</v>
      </c>
      <c r="H49" s="27" t="s">
        <v>261</v>
      </c>
      <c r="I49" s="25" t="s">
        <v>93</v>
      </c>
      <c r="J49" s="23"/>
      <c r="K49" s="23" t="s">
        <v>94</v>
      </c>
      <c r="L49" s="26" t="s">
        <v>256</v>
      </c>
      <c r="M49" s="27">
        <v>10844</v>
      </c>
      <c r="N49" s="25">
        <v>46</v>
      </c>
      <c r="O49" s="28" t="s">
        <v>31</v>
      </c>
      <c r="P49" s="25" t="str">
        <f t="shared" si="0"/>
        <v>0192M | 10844</v>
      </c>
    </row>
    <row r="50" spans="1:16" x14ac:dyDescent="0.2">
      <c r="A50" s="23" t="s">
        <v>262</v>
      </c>
      <c r="B50" s="24">
        <v>550</v>
      </c>
      <c r="C50" s="23" t="s">
        <v>237</v>
      </c>
      <c r="D50" s="23" t="s">
        <v>238</v>
      </c>
      <c r="E50" s="25" t="s">
        <v>47</v>
      </c>
      <c r="F50" s="26">
        <v>0</v>
      </c>
      <c r="G50" s="27">
        <v>1</v>
      </c>
      <c r="H50" s="27" t="s">
        <v>48</v>
      </c>
      <c r="I50" s="25" t="s">
        <v>29</v>
      </c>
      <c r="J50" s="23"/>
      <c r="K50" s="23" t="s">
        <v>239</v>
      </c>
      <c r="L50" s="26" t="s">
        <v>256</v>
      </c>
      <c r="M50" s="27">
        <v>11397</v>
      </c>
      <c r="N50" s="25">
        <v>47</v>
      </c>
      <c r="O50" s="28" t="s">
        <v>31</v>
      </c>
      <c r="P50" s="25" t="str">
        <f t="shared" si="0"/>
        <v>0192M | 11397</v>
      </c>
    </row>
    <row r="51" spans="1:16" x14ac:dyDescent="0.2">
      <c r="A51" s="30" t="s">
        <v>263</v>
      </c>
      <c r="B51" s="31" t="s">
        <v>264</v>
      </c>
      <c r="C51" s="30" t="s">
        <v>265</v>
      </c>
      <c r="D51" s="30" t="s">
        <v>266</v>
      </c>
      <c r="E51" s="29"/>
      <c r="F51" s="32">
        <v>0</v>
      </c>
      <c r="G51" s="33" t="s">
        <v>87</v>
      </c>
      <c r="H51" s="33"/>
      <c r="I51" s="29"/>
      <c r="J51" s="30"/>
      <c r="K51" s="30"/>
      <c r="L51" s="32" t="s">
        <v>267</v>
      </c>
      <c r="M51" s="33"/>
      <c r="N51" s="29">
        <v>48</v>
      </c>
      <c r="O51" s="29" t="s">
        <v>22</v>
      </c>
      <c r="P51" s="29" t="str">
        <f t="shared" si="0"/>
        <v xml:space="preserve">0194M | </v>
      </c>
    </row>
    <row r="52" spans="1:16" x14ac:dyDescent="0.2">
      <c r="A52" s="23" t="s">
        <v>268</v>
      </c>
      <c r="B52" s="24" t="s">
        <v>269</v>
      </c>
      <c r="C52" s="23" t="s">
        <v>270</v>
      </c>
      <c r="D52" s="23" t="s">
        <v>271</v>
      </c>
      <c r="E52" s="25" t="s">
        <v>184</v>
      </c>
      <c r="F52" s="26">
        <v>0</v>
      </c>
      <c r="G52" s="27">
        <v>1</v>
      </c>
      <c r="H52" s="27"/>
      <c r="I52" s="25" t="s">
        <v>93</v>
      </c>
      <c r="J52" s="23" t="s">
        <v>272</v>
      </c>
      <c r="K52" s="23" t="s">
        <v>94</v>
      </c>
      <c r="L52" s="26" t="s">
        <v>267</v>
      </c>
      <c r="M52" s="27">
        <v>9009</v>
      </c>
      <c r="N52" s="25">
        <v>49</v>
      </c>
      <c r="O52" s="28" t="s">
        <v>31</v>
      </c>
      <c r="P52" s="25" t="str">
        <f t="shared" si="0"/>
        <v>0194M | 9009</v>
      </c>
    </row>
    <row r="53" spans="1:16" x14ac:dyDescent="0.2">
      <c r="A53" s="23" t="s">
        <v>273</v>
      </c>
      <c r="B53" s="24" t="s">
        <v>230</v>
      </c>
      <c r="C53" s="23" t="s">
        <v>231</v>
      </c>
      <c r="D53" s="23" t="s">
        <v>232</v>
      </c>
      <c r="E53" s="25" t="s">
        <v>36</v>
      </c>
      <c r="F53" s="26">
        <v>0</v>
      </c>
      <c r="G53" s="27">
        <v>1</v>
      </c>
      <c r="H53" s="27" t="s">
        <v>233</v>
      </c>
      <c r="I53" s="25" t="s">
        <v>29</v>
      </c>
      <c r="J53" s="23"/>
      <c r="K53" s="23" t="s">
        <v>234</v>
      </c>
      <c r="L53" s="26" t="s">
        <v>267</v>
      </c>
      <c r="M53" s="27">
        <v>9038</v>
      </c>
      <c r="N53" s="25">
        <v>50</v>
      </c>
      <c r="O53" s="28" t="s">
        <v>31</v>
      </c>
      <c r="P53" s="25" t="str">
        <f t="shared" si="0"/>
        <v>0194M | 9038</v>
      </c>
    </row>
    <row r="54" spans="1:16" x14ac:dyDescent="0.2">
      <c r="A54" s="23" t="s">
        <v>274</v>
      </c>
      <c r="B54" s="24" t="s">
        <v>236</v>
      </c>
      <c r="C54" s="23" t="s">
        <v>237</v>
      </c>
      <c r="D54" s="23" t="s">
        <v>238</v>
      </c>
      <c r="E54" s="25" t="s">
        <v>47</v>
      </c>
      <c r="F54" s="26">
        <v>0</v>
      </c>
      <c r="G54" s="27">
        <v>1</v>
      </c>
      <c r="H54" s="27" t="s">
        <v>48</v>
      </c>
      <c r="I54" s="25" t="s">
        <v>29</v>
      </c>
      <c r="J54" s="23"/>
      <c r="K54" s="23" t="s">
        <v>239</v>
      </c>
      <c r="L54" s="26" t="s">
        <v>267</v>
      </c>
      <c r="M54" s="27">
        <v>11398</v>
      </c>
      <c r="N54" s="25">
        <v>51</v>
      </c>
      <c r="O54" s="28" t="s">
        <v>31</v>
      </c>
      <c r="P54" s="25" t="str">
        <f t="shared" si="0"/>
        <v>0194M | 11398</v>
      </c>
    </row>
    <row r="55" spans="1:16" x14ac:dyDescent="0.2">
      <c r="A55" s="30" t="s">
        <v>275</v>
      </c>
      <c r="B55" s="31" t="s">
        <v>241</v>
      </c>
      <c r="C55" s="30" t="s">
        <v>242</v>
      </c>
      <c r="D55" s="30" t="s">
        <v>243</v>
      </c>
      <c r="E55" s="29"/>
      <c r="F55" s="32">
        <v>0</v>
      </c>
      <c r="G55" s="33" t="s">
        <v>87</v>
      </c>
      <c r="H55" s="33"/>
      <c r="I55" s="29"/>
      <c r="J55" s="30"/>
      <c r="K55" s="30"/>
      <c r="L55" s="32" t="s">
        <v>276</v>
      </c>
      <c r="M55" s="33"/>
      <c r="N55" s="29">
        <v>52</v>
      </c>
      <c r="O55" s="29" t="s">
        <v>22</v>
      </c>
      <c r="P55" s="29" t="str">
        <f t="shared" si="0"/>
        <v xml:space="preserve">0196M | </v>
      </c>
    </row>
    <row r="56" spans="1:16" x14ac:dyDescent="0.2">
      <c r="A56" s="23" t="s">
        <v>277</v>
      </c>
      <c r="B56" s="24">
        <v>240</v>
      </c>
      <c r="C56" s="23" t="s">
        <v>246</v>
      </c>
      <c r="D56" s="23" t="s">
        <v>247</v>
      </c>
      <c r="E56" s="25" t="s">
        <v>92</v>
      </c>
      <c r="F56" s="26">
        <v>0</v>
      </c>
      <c r="G56" s="27">
        <v>1</v>
      </c>
      <c r="H56" s="27"/>
      <c r="I56" s="25" t="s">
        <v>93</v>
      </c>
      <c r="J56" s="23"/>
      <c r="K56" s="23" t="s">
        <v>94</v>
      </c>
      <c r="L56" s="26" t="s">
        <v>276</v>
      </c>
      <c r="M56" s="27">
        <v>9039</v>
      </c>
      <c r="N56" s="25">
        <v>53</v>
      </c>
      <c r="O56" s="28" t="s">
        <v>31</v>
      </c>
      <c r="P56" s="25" t="str">
        <f t="shared" si="0"/>
        <v>0196M | 9039</v>
      </c>
    </row>
    <row r="57" spans="1:16" x14ac:dyDescent="0.2">
      <c r="A57" s="23" t="s">
        <v>278</v>
      </c>
      <c r="B57" s="24">
        <v>253</v>
      </c>
      <c r="C57" s="23" t="s">
        <v>249</v>
      </c>
      <c r="D57" s="23" t="s">
        <v>250</v>
      </c>
      <c r="E57" s="25" t="s">
        <v>36</v>
      </c>
      <c r="F57" s="26">
        <v>0</v>
      </c>
      <c r="G57" s="27">
        <v>1</v>
      </c>
      <c r="H57" s="27" t="s">
        <v>251</v>
      </c>
      <c r="I57" s="25" t="s">
        <v>29</v>
      </c>
      <c r="J57" s="23"/>
      <c r="K57" s="23" t="s">
        <v>153</v>
      </c>
      <c r="L57" s="26" t="s">
        <v>276</v>
      </c>
      <c r="M57" s="27">
        <v>9040</v>
      </c>
      <c r="N57" s="25">
        <v>54</v>
      </c>
      <c r="O57" s="28" t="s">
        <v>31</v>
      </c>
      <c r="P57" s="25" t="str">
        <f t="shared" si="0"/>
        <v>0196M | 9040</v>
      </c>
    </row>
    <row r="58" spans="1:16" x14ac:dyDescent="0.2">
      <c r="A58" s="30" t="s">
        <v>279</v>
      </c>
      <c r="B58" s="31" t="s">
        <v>253</v>
      </c>
      <c r="C58" s="30" t="s">
        <v>254</v>
      </c>
      <c r="D58" s="30" t="s">
        <v>255</v>
      </c>
      <c r="E58" s="29"/>
      <c r="F58" s="32">
        <v>0</v>
      </c>
      <c r="G58" s="33" t="s">
        <v>87</v>
      </c>
      <c r="H58" s="33"/>
      <c r="I58" s="29"/>
      <c r="J58" s="30"/>
      <c r="K58" s="30"/>
      <c r="L58" s="32" t="s">
        <v>280</v>
      </c>
      <c r="M58" s="33"/>
      <c r="N58" s="29">
        <v>55</v>
      </c>
      <c r="O58" s="29" t="s">
        <v>22</v>
      </c>
      <c r="P58" s="29" t="str">
        <f t="shared" si="0"/>
        <v xml:space="preserve">0195M | </v>
      </c>
    </row>
    <row r="59" spans="1:16" x14ac:dyDescent="0.2">
      <c r="A59" s="23" t="s">
        <v>281</v>
      </c>
      <c r="B59" s="34" t="s">
        <v>336</v>
      </c>
      <c r="C59" s="23" t="s">
        <v>214</v>
      </c>
      <c r="D59" s="23" t="s">
        <v>215</v>
      </c>
      <c r="E59" s="25" t="s">
        <v>216</v>
      </c>
      <c r="F59" s="26">
        <v>0</v>
      </c>
      <c r="G59" s="27">
        <v>1</v>
      </c>
      <c r="H59" s="27"/>
      <c r="I59" s="25" t="s">
        <v>217</v>
      </c>
      <c r="J59" s="23"/>
      <c r="K59" s="23" t="s">
        <v>218</v>
      </c>
      <c r="L59" s="26" t="s">
        <v>280</v>
      </c>
      <c r="M59" s="27">
        <v>10845</v>
      </c>
      <c r="N59" s="25">
        <v>56</v>
      </c>
      <c r="O59" s="28" t="s">
        <v>31</v>
      </c>
      <c r="P59" s="25" t="str">
        <f t="shared" si="0"/>
        <v>0195M | 10845</v>
      </c>
    </row>
    <row r="60" spans="1:16" ht="33.75" x14ac:dyDescent="0.2">
      <c r="A60" s="23" t="s">
        <v>282</v>
      </c>
      <c r="B60" s="24">
        <v>511</v>
      </c>
      <c r="C60" s="23" t="s">
        <v>259</v>
      </c>
      <c r="D60" s="23" t="s">
        <v>260</v>
      </c>
      <c r="E60" s="25" t="s">
        <v>184</v>
      </c>
      <c r="F60" s="26">
        <v>0</v>
      </c>
      <c r="G60" s="27">
        <v>1</v>
      </c>
      <c r="H60" s="27" t="s">
        <v>261</v>
      </c>
      <c r="I60" s="25" t="s">
        <v>93</v>
      </c>
      <c r="J60" s="23"/>
      <c r="K60" s="23" t="s">
        <v>94</v>
      </c>
      <c r="L60" s="26" t="s">
        <v>280</v>
      </c>
      <c r="M60" s="27">
        <v>10846</v>
      </c>
      <c r="N60" s="25">
        <v>57</v>
      </c>
      <c r="O60" s="28" t="s">
        <v>31</v>
      </c>
      <c r="P60" s="25" t="str">
        <f t="shared" si="0"/>
        <v>0195M | 10846</v>
      </c>
    </row>
    <row r="61" spans="1:16" x14ac:dyDescent="0.2">
      <c r="A61" s="23" t="s">
        <v>283</v>
      </c>
      <c r="B61" s="24">
        <v>550</v>
      </c>
      <c r="C61" s="23" t="s">
        <v>237</v>
      </c>
      <c r="D61" s="23" t="s">
        <v>238</v>
      </c>
      <c r="E61" s="25" t="s">
        <v>47</v>
      </c>
      <c r="F61" s="26">
        <v>0</v>
      </c>
      <c r="G61" s="27">
        <v>1</v>
      </c>
      <c r="H61" s="27" t="s">
        <v>48</v>
      </c>
      <c r="I61" s="25" t="s">
        <v>29</v>
      </c>
      <c r="J61" s="23"/>
      <c r="K61" s="23" t="s">
        <v>239</v>
      </c>
      <c r="L61" s="26" t="s">
        <v>280</v>
      </c>
      <c r="M61" s="27">
        <v>11399</v>
      </c>
      <c r="N61" s="25">
        <v>58</v>
      </c>
      <c r="O61" s="28" t="s">
        <v>31</v>
      </c>
      <c r="P61" s="25" t="str">
        <f t="shared" si="0"/>
        <v>0195M | 11399</v>
      </c>
    </row>
    <row r="62" spans="1:16" x14ac:dyDescent="0.2">
      <c r="A62" s="30" t="s">
        <v>284</v>
      </c>
      <c r="B62" s="31" t="s">
        <v>285</v>
      </c>
      <c r="C62" s="30" t="s">
        <v>286</v>
      </c>
      <c r="D62" s="30" t="s">
        <v>287</v>
      </c>
      <c r="E62" s="29"/>
      <c r="F62" s="32">
        <v>0</v>
      </c>
      <c r="G62" s="33" t="s">
        <v>87</v>
      </c>
      <c r="H62" s="33"/>
      <c r="I62" s="29"/>
      <c r="J62" s="30"/>
      <c r="K62" s="30"/>
      <c r="L62" s="32" t="s">
        <v>288</v>
      </c>
      <c r="M62" s="33"/>
      <c r="N62" s="29">
        <v>59</v>
      </c>
      <c r="O62" s="29" t="s">
        <v>22</v>
      </c>
      <c r="P62" s="29" t="str">
        <f t="shared" si="0"/>
        <v xml:space="preserve">0833M | </v>
      </c>
    </row>
    <row r="63" spans="1:16" ht="33.75" x14ac:dyDescent="0.2">
      <c r="A63" s="23" t="s">
        <v>289</v>
      </c>
      <c r="B63" s="24" t="s">
        <v>290</v>
      </c>
      <c r="C63" s="23" t="s">
        <v>291</v>
      </c>
      <c r="D63" s="23" t="s">
        <v>292</v>
      </c>
      <c r="E63" s="25" t="s">
        <v>184</v>
      </c>
      <c r="F63" s="26">
        <v>0</v>
      </c>
      <c r="G63" s="27">
        <v>1</v>
      </c>
      <c r="H63" s="27" t="s">
        <v>293</v>
      </c>
      <c r="I63" s="25" t="s">
        <v>93</v>
      </c>
      <c r="J63" s="23"/>
      <c r="K63" s="23" t="s">
        <v>294</v>
      </c>
      <c r="L63" s="26" t="s">
        <v>288</v>
      </c>
      <c r="M63" s="27">
        <v>9041</v>
      </c>
      <c r="N63" s="25">
        <v>60</v>
      </c>
      <c r="O63" s="28" t="s">
        <v>31</v>
      </c>
      <c r="P63" s="25" t="str">
        <f t="shared" si="0"/>
        <v>0833M | 9041</v>
      </c>
    </row>
    <row r="64" spans="1:16" ht="22.5" x14ac:dyDescent="0.2">
      <c r="A64" s="23" t="s">
        <v>295</v>
      </c>
      <c r="B64" s="24" t="s">
        <v>296</v>
      </c>
      <c r="C64" s="23" t="s">
        <v>297</v>
      </c>
      <c r="D64" s="23" t="s">
        <v>298</v>
      </c>
      <c r="E64" s="25" t="s">
        <v>184</v>
      </c>
      <c r="F64" s="26">
        <v>0</v>
      </c>
      <c r="G64" s="27">
        <v>1</v>
      </c>
      <c r="H64" s="27" t="s">
        <v>299</v>
      </c>
      <c r="I64" s="25" t="s">
        <v>93</v>
      </c>
      <c r="J64" s="23"/>
      <c r="K64" s="23" t="s">
        <v>300</v>
      </c>
      <c r="L64" s="26" t="s">
        <v>288</v>
      </c>
      <c r="M64" s="27">
        <v>9042</v>
      </c>
      <c r="N64" s="25">
        <v>61</v>
      </c>
      <c r="O64" s="28" t="s">
        <v>31</v>
      </c>
      <c r="P64" s="25" t="str">
        <f t="shared" si="0"/>
        <v>0833M | 9042</v>
      </c>
    </row>
    <row r="65" spans="1:16" ht="22.5" x14ac:dyDescent="0.2">
      <c r="A65" s="23" t="s">
        <v>301</v>
      </c>
      <c r="B65" s="24" t="s">
        <v>302</v>
      </c>
      <c r="C65" s="23" t="s">
        <v>303</v>
      </c>
      <c r="D65" s="23" t="s">
        <v>304</v>
      </c>
      <c r="E65" s="25" t="s">
        <v>184</v>
      </c>
      <c r="F65" s="26">
        <v>0</v>
      </c>
      <c r="G65" s="27">
        <v>1</v>
      </c>
      <c r="H65" s="27" t="s">
        <v>305</v>
      </c>
      <c r="I65" s="25" t="s">
        <v>93</v>
      </c>
      <c r="J65" s="23"/>
      <c r="K65" s="23" t="s">
        <v>306</v>
      </c>
      <c r="L65" s="26" t="s">
        <v>288</v>
      </c>
      <c r="M65" s="27">
        <v>9043</v>
      </c>
      <c r="N65" s="25">
        <v>62</v>
      </c>
      <c r="O65" s="28" t="s">
        <v>31</v>
      </c>
      <c r="P65" s="25" t="str">
        <f t="shared" si="0"/>
        <v>0833M | 9043</v>
      </c>
    </row>
    <row r="66" spans="1:16" ht="22.5" x14ac:dyDescent="0.2">
      <c r="A66" s="23" t="s">
        <v>307</v>
      </c>
      <c r="B66" s="24" t="s">
        <v>308</v>
      </c>
      <c r="C66" s="23" t="s">
        <v>309</v>
      </c>
      <c r="D66" s="23" t="s">
        <v>310</v>
      </c>
      <c r="E66" s="25" t="s">
        <v>184</v>
      </c>
      <c r="F66" s="26">
        <v>0</v>
      </c>
      <c r="G66" s="27">
        <v>1</v>
      </c>
      <c r="H66" s="27" t="s">
        <v>311</v>
      </c>
      <c r="I66" s="25" t="s">
        <v>93</v>
      </c>
      <c r="J66" s="23"/>
      <c r="K66" s="23" t="s">
        <v>312</v>
      </c>
      <c r="L66" s="26" t="s">
        <v>288</v>
      </c>
      <c r="M66" s="27">
        <v>9044</v>
      </c>
      <c r="N66" s="25">
        <v>63</v>
      </c>
      <c r="O66" s="28" t="s">
        <v>31</v>
      </c>
      <c r="P66" s="25" t="str">
        <f t="shared" si="0"/>
        <v>0833M | 9044</v>
      </c>
    </row>
    <row r="67" spans="1:16" ht="22.5" x14ac:dyDescent="0.2">
      <c r="A67" s="23" t="s">
        <v>313</v>
      </c>
      <c r="B67" s="24" t="s">
        <v>314</v>
      </c>
      <c r="C67" s="23" t="s">
        <v>315</v>
      </c>
      <c r="D67" s="23" t="s">
        <v>316</v>
      </c>
      <c r="E67" s="25" t="s">
        <v>184</v>
      </c>
      <c r="F67" s="26">
        <v>0</v>
      </c>
      <c r="G67" s="27">
        <v>1</v>
      </c>
      <c r="H67" s="27" t="s">
        <v>317</v>
      </c>
      <c r="I67" s="25" t="s">
        <v>93</v>
      </c>
      <c r="J67" s="23"/>
      <c r="K67" s="23" t="s">
        <v>318</v>
      </c>
      <c r="L67" s="26" t="s">
        <v>288</v>
      </c>
      <c r="M67" s="27">
        <v>9045</v>
      </c>
      <c r="N67" s="25">
        <v>64</v>
      </c>
      <c r="O67" s="28" t="s">
        <v>31</v>
      </c>
      <c r="P67" s="25" t="str">
        <f t="shared" si="0"/>
        <v>0833M | 9045</v>
      </c>
    </row>
    <row r="68" spans="1:16" ht="33.75" x14ac:dyDescent="0.2">
      <c r="A68" s="23" t="s">
        <v>319</v>
      </c>
      <c r="B68" s="24" t="s">
        <v>320</v>
      </c>
      <c r="C68" s="23" t="s">
        <v>321</v>
      </c>
      <c r="D68" s="23" t="s">
        <v>322</v>
      </c>
      <c r="E68" s="25" t="s">
        <v>184</v>
      </c>
      <c r="F68" s="26">
        <v>0</v>
      </c>
      <c r="G68" s="27">
        <v>1</v>
      </c>
      <c r="H68" s="27" t="s">
        <v>323</v>
      </c>
      <c r="I68" s="25" t="s">
        <v>93</v>
      </c>
      <c r="J68" s="23"/>
      <c r="K68" s="23" t="s">
        <v>324</v>
      </c>
      <c r="L68" s="26" t="s">
        <v>288</v>
      </c>
      <c r="M68" s="27">
        <v>9046</v>
      </c>
      <c r="N68" s="25">
        <v>65</v>
      </c>
      <c r="O68" s="28" t="s">
        <v>31</v>
      </c>
      <c r="P68" s="25" t="str">
        <f t="shared" si="0"/>
        <v>0833M | 9046</v>
      </c>
    </row>
    <row r="69" spans="1:16" ht="22.5" x14ac:dyDescent="0.2">
      <c r="A69" s="23" t="s">
        <v>325</v>
      </c>
      <c r="B69" s="24" t="s">
        <v>326</v>
      </c>
      <c r="C69" s="23" t="s">
        <v>327</v>
      </c>
      <c r="D69" s="23" t="s">
        <v>328</v>
      </c>
      <c r="E69" s="25" t="s">
        <v>184</v>
      </c>
      <c r="F69" s="26">
        <v>0</v>
      </c>
      <c r="G69" s="27">
        <v>1</v>
      </c>
      <c r="H69" s="27" t="s">
        <v>329</v>
      </c>
      <c r="I69" s="25" t="s">
        <v>93</v>
      </c>
      <c r="J69" s="23"/>
      <c r="K69" s="23" t="s">
        <v>330</v>
      </c>
      <c r="L69" s="26" t="s">
        <v>288</v>
      </c>
      <c r="M69" s="27">
        <v>9047</v>
      </c>
      <c r="N69" s="25">
        <v>66</v>
      </c>
      <c r="O69" s="28" t="s">
        <v>31</v>
      </c>
      <c r="P69" s="25" t="str">
        <f t="shared" ref="P69:P70" si="1">_xlfn.CONCAT(L69," | ",M69)</f>
        <v>0833M | 9047</v>
      </c>
    </row>
    <row r="70" spans="1:16" ht="22.5" x14ac:dyDescent="0.2">
      <c r="A70" s="23" t="s">
        <v>331</v>
      </c>
      <c r="B70" s="24" t="s">
        <v>332</v>
      </c>
      <c r="C70" s="23" t="s">
        <v>333</v>
      </c>
      <c r="D70" s="23" t="s">
        <v>334</v>
      </c>
      <c r="E70" s="25" t="s">
        <v>184</v>
      </c>
      <c r="F70" s="26">
        <v>0</v>
      </c>
      <c r="G70" s="27">
        <v>1</v>
      </c>
      <c r="H70" s="27" t="s">
        <v>329</v>
      </c>
      <c r="I70" s="25" t="s">
        <v>93</v>
      </c>
      <c r="J70" s="23"/>
      <c r="K70" s="23" t="s">
        <v>335</v>
      </c>
      <c r="L70" s="26" t="s">
        <v>288</v>
      </c>
      <c r="M70" s="27">
        <v>9048</v>
      </c>
      <c r="N70" s="25">
        <v>67</v>
      </c>
      <c r="O70" s="28" t="s">
        <v>31</v>
      </c>
      <c r="P70" s="25" t="str">
        <f t="shared" si="1"/>
        <v>0833M | 9048</v>
      </c>
    </row>
  </sheetData>
  <autoFilter ref="A3:P70" xr:uid="{00000000-0001-0000-0000-000000000000}"/>
  <mergeCells count="3">
    <mergeCell ref="F2:G2"/>
    <mergeCell ref="L2:M2"/>
    <mergeCell ref="A1:P1"/>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DE611DE5788446A73BA7824B7CFDC3" ma:contentTypeVersion="16" ma:contentTypeDescription="Create a new document." ma:contentTypeScope="" ma:versionID="675182528aa0b3a7878d836102111dbe">
  <xsd:schema xmlns:xsd="http://www.w3.org/2001/XMLSchema" xmlns:xs="http://www.w3.org/2001/XMLSchema" xmlns:p="http://schemas.microsoft.com/office/2006/metadata/properties" xmlns:ns2="2726a1c5-1268-4cc5-bc96-82106ec5f039" xmlns:ns3="cba26953-9266-4c92-b364-7e19252d727d" targetNamespace="http://schemas.microsoft.com/office/2006/metadata/properties" ma:root="true" ma:fieldsID="8a02babd869a65edab4824a01169f1a1" ns2:_="" ns3:_="">
    <xsd:import namespace="2726a1c5-1268-4cc5-bc96-82106ec5f039"/>
    <xsd:import namespace="cba26953-9266-4c92-b364-7e19252d72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lcf76f155ced4ddcb4097134ff3c332f" minOccurs="0"/>
                <xsd:element ref="ns3:TaxCatchAll"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26a1c5-1268-4cc5-bc96-82106ec5f0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41118be-01e6-4e0b-b1b2-c3400e2714f7" ma:termSetId="09814cd3-568e-fe90-9814-8d621ff8fb84" ma:anchorId="fba54fb3-c3e1-fe81-a776-ca4b69148c4d" ma:open="true" ma:isKeyword="false">
      <xsd:complexType>
        <xsd:sequence>
          <xsd:element ref="pc:Terms" minOccurs="0" maxOccurs="1"/>
        </xsd:sequence>
      </xsd:complex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ba26953-9266-4c92-b364-7e19252d727d"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ac8ab42-beaf-40f4-bcac-8f875a21ff39}" ma:internalName="TaxCatchAll" ma:showField="CatchAllData" ma:web="cba26953-9266-4c92-b364-7e19252d72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6E4AB2-DE3B-4FBF-81A3-CE4822839851}"/>
</file>

<file path=customXml/itemProps2.xml><?xml version="1.0" encoding="utf-8"?>
<ds:datastoreItem xmlns:ds="http://schemas.openxmlformats.org/officeDocument/2006/customXml" ds:itemID="{FC9AA7E1-4AF0-4580-93B0-BC5EA06850A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MDIP (MetaData)</vt:lpstr>
    </vt:vector>
  </TitlesOfParts>
  <Company>Ministerie van Financiën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 Bootsma</dc:creator>
  <cp:lastModifiedBy>Sybrand S. Bootsma</cp:lastModifiedBy>
  <dcterms:created xsi:type="dcterms:W3CDTF">2021-06-09T12:25:43Z</dcterms:created>
  <dcterms:modified xsi:type="dcterms:W3CDTF">2023-06-26T11:48:59Z</dcterms:modified>
</cp:coreProperties>
</file>